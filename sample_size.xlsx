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consumer confidence index\01_Survey_call_center\2024\02\csi_1q_2023_reg\"/>
    </mc:Choice>
  </mc:AlternateContent>
  <xr:revisionPtr revIDLastSave="0" documentId="13_ncr:1_{7749919D-1B13-4032-898B-F8E1625AD510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ample_size" sheetId="6" r:id="rId1"/>
    <sheet name="district_allocation" sheetId="1" state="hidden" r:id="rId2"/>
    <sheet name="region_allocation" sheetId="4" state="hidden" r:id="rId3"/>
    <sheet name="Ma'lumot (2)" sheetId="3" state="hidden" r:id="rId4"/>
  </sheets>
  <definedNames>
    <definedName name="_xlnm._FilterDatabase" localSheetId="1" hidden="1">district_allocation!$A$1:$J$208</definedName>
    <definedName name="_xlnm._FilterDatabase" localSheetId="3" hidden="1">'Ma''lumot (2)'!$A$1:$S$222</definedName>
    <definedName name="_xlnm._FilterDatabase" localSheetId="0" hidden="1">sample_size!$A$1:$E$1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" i="1" l="1"/>
  <c r="J11" i="1"/>
  <c r="J14" i="1"/>
  <c r="J21" i="1"/>
  <c r="J44" i="1"/>
  <c r="J61" i="1"/>
  <c r="J80" i="1"/>
  <c r="J81" i="1"/>
  <c r="J86" i="1"/>
  <c r="J87" i="1"/>
  <c r="J133" i="1"/>
  <c r="J134" i="1"/>
  <c r="J148" i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2" i="4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2" i="4"/>
  <c r="F16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2" i="4"/>
  <c r="F2" i="1" l="1"/>
  <c r="H26" i="1" s="1"/>
  <c r="H117" i="1" l="1"/>
  <c r="H177" i="1"/>
  <c r="H17" i="1"/>
  <c r="H18" i="1"/>
  <c r="I26" i="1"/>
  <c r="J26" i="1"/>
  <c r="H49" i="1"/>
  <c r="H132" i="1"/>
  <c r="H122" i="1"/>
  <c r="H53" i="1"/>
  <c r="H152" i="1"/>
  <c r="H113" i="1"/>
  <c r="H207" i="1"/>
  <c r="H195" i="1"/>
  <c r="H36" i="1"/>
  <c r="I133" i="1"/>
  <c r="H184" i="1"/>
  <c r="H55" i="1"/>
  <c r="H65" i="1"/>
  <c r="H47" i="1"/>
  <c r="H68" i="1"/>
  <c r="H129" i="1"/>
  <c r="H164" i="1"/>
  <c r="H69" i="1"/>
  <c r="H56" i="1"/>
  <c r="H145" i="1"/>
  <c r="H20" i="1"/>
  <c r="H85" i="1"/>
  <c r="H197" i="1"/>
  <c r="H42" i="1"/>
  <c r="H5" i="1"/>
  <c r="H102" i="1"/>
  <c r="H15" i="1"/>
  <c r="I81" i="1"/>
  <c r="H138" i="1"/>
  <c r="H75" i="1"/>
  <c r="H19" i="1"/>
  <c r="H149" i="1"/>
  <c r="H7" i="1"/>
  <c r="H88" i="1"/>
  <c r="H74" i="1"/>
  <c r="H33" i="1"/>
  <c r="H97" i="1"/>
  <c r="H161" i="1"/>
  <c r="H29" i="1"/>
  <c r="H100" i="1"/>
  <c r="H106" i="1"/>
  <c r="H37" i="1"/>
  <c r="H101" i="1"/>
  <c r="H165" i="1"/>
  <c r="H82" i="1"/>
  <c r="H120" i="1"/>
  <c r="H166" i="1"/>
  <c r="H119" i="1"/>
  <c r="H181" i="1"/>
  <c r="H54" i="1"/>
  <c r="H150" i="1"/>
  <c r="H30" i="1"/>
  <c r="I134" i="1"/>
  <c r="H40" i="1"/>
  <c r="H72" i="1"/>
  <c r="H104" i="1"/>
  <c r="H136" i="1"/>
  <c r="H168" i="1"/>
  <c r="H28" i="1"/>
  <c r="H118" i="1"/>
  <c r="H199" i="1"/>
  <c r="H111" i="1"/>
  <c r="H196" i="1"/>
  <c r="H186" i="1"/>
  <c r="H139" i="1"/>
  <c r="H13" i="1"/>
  <c r="H90" i="1"/>
  <c r="I14" i="1"/>
  <c r="H70" i="1"/>
  <c r="H174" i="1"/>
  <c r="H52" i="1"/>
  <c r="H84" i="1"/>
  <c r="H116" i="1"/>
  <c r="I148" i="1"/>
  <c r="H180" i="1"/>
  <c r="H62" i="1"/>
  <c r="H154" i="1"/>
  <c r="H63" i="1"/>
  <c r="H35" i="1"/>
  <c r="H16" i="1"/>
  <c r="H202" i="1"/>
  <c r="H163" i="1"/>
  <c r="H99" i="1"/>
  <c r="H183" i="1"/>
  <c r="H206" i="1"/>
  <c r="H167" i="1"/>
  <c r="H23" i="1"/>
  <c r="H73" i="1"/>
  <c r="H121" i="1"/>
  <c r="H169" i="1"/>
  <c r="H66" i="1"/>
  <c r="H12" i="1"/>
  <c r="H146" i="1"/>
  <c r="I44" i="1"/>
  <c r="H92" i="1"/>
  <c r="H140" i="1"/>
  <c r="H188" i="1"/>
  <c r="H38" i="1"/>
  <c r="H130" i="1"/>
  <c r="H178" i="1"/>
  <c r="H143" i="1"/>
  <c r="H175" i="1"/>
  <c r="H191" i="1"/>
  <c r="H31" i="1"/>
  <c r="H43" i="1"/>
  <c r="H67" i="1"/>
  <c r="I87" i="1"/>
  <c r="H204" i="1"/>
  <c r="H189" i="1"/>
  <c r="H205" i="1"/>
  <c r="H194" i="1"/>
  <c r="H10" i="1"/>
  <c r="H107" i="1"/>
  <c r="H131" i="1"/>
  <c r="H151" i="1"/>
  <c r="H171" i="1"/>
  <c r="I21" i="1"/>
  <c r="H203" i="1"/>
  <c r="H79" i="1"/>
  <c r="H39" i="1"/>
  <c r="H59" i="1"/>
  <c r="H83" i="1"/>
  <c r="H200" i="1"/>
  <c r="H201" i="1"/>
  <c r="H190" i="1"/>
  <c r="H103" i="1"/>
  <c r="H123" i="1"/>
  <c r="H147" i="1"/>
  <c r="H187" i="1"/>
  <c r="I6" i="1"/>
  <c r="H41" i="1"/>
  <c r="H57" i="1"/>
  <c r="H89" i="1"/>
  <c r="H105" i="1"/>
  <c r="H137" i="1"/>
  <c r="H153" i="1"/>
  <c r="H185" i="1"/>
  <c r="H25" i="1"/>
  <c r="H114" i="1"/>
  <c r="H162" i="1"/>
  <c r="H46" i="1"/>
  <c r="H98" i="1"/>
  <c r="H3" i="1"/>
  <c r="H60" i="1"/>
  <c r="H76" i="1"/>
  <c r="H108" i="1"/>
  <c r="H124" i="1"/>
  <c r="H156" i="1"/>
  <c r="H172" i="1"/>
  <c r="I86" i="1"/>
  <c r="I11" i="1"/>
  <c r="H27" i="1"/>
  <c r="H45" i="1"/>
  <c r="I61" i="1"/>
  <c r="H77" i="1"/>
  <c r="H93" i="1"/>
  <c r="H109" i="1"/>
  <c r="H125" i="1"/>
  <c r="H141" i="1"/>
  <c r="H157" i="1"/>
  <c r="H173" i="1"/>
  <c r="H9" i="1"/>
  <c r="H34" i="1"/>
  <c r="H78" i="1"/>
  <c r="H126" i="1"/>
  <c r="H170" i="1"/>
  <c r="H24" i="1"/>
  <c r="H58" i="1"/>
  <c r="H110" i="1"/>
  <c r="H158" i="1"/>
  <c r="H32" i="1"/>
  <c r="H48" i="1"/>
  <c r="H64" i="1"/>
  <c r="I80" i="1"/>
  <c r="H96" i="1"/>
  <c r="H112" i="1"/>
  <c r="H128" i="1"/>
  <c r="H144" i="1"/>
  <c r="H160" i="1"/>
  <c r="H176" i="1"/>
  <c r="H8" i="1"/>
  <c r="H50" i="1"/>
  <c r="H94" i="1"/>
  <c r="H142" i="1"/>
  <c r="H22" i="1"/>
  <c r="H95" i="1"/>
  <c r="H127" i="1"/>
  <c r="H159" i="1"/>
  <c r="H4" i="1"/>
  <c r="H51" i="1"/>
  <c r="H71" i="1"/>
  <c r="H192" i="1"/>
  <c r="H208" i="1"/>
  <c r="H193" i="1"/>
  <c r="H182" i="1"/>
  <c r="H198" i="1"/>
  <c r="H91" i="1"/>
  <c r="H115" i="1"/>
  <c r="H135" i="1"/>
  <c r="H155" i="1"/>
  <c r="H179" i="1"/>
  <c r="I144" i="1" l="1"/>
  <c r="J144" i="1"/>
  <c r="I83" i="1"/>
  <c r="J83" i="1"/>
  <c r="I54" i="1"/>
  <c r="J54" i="1"/>
  <c r="I132" i="1"/>
  <c r="J132" i="1"/>
  <c r="I179" i="1"/>
  <c r="J179" i="1"/>
  <c r="I208" i="1"/>
  <c r="J208" i="1"/>
  <c r="I22" i="1"/>
  <c r="J22" i="1"/>
  <c r="I128" i="1"/>
  <c r="J128" i="1"/>
  <c r="I110" i="1"/>
  <c r="J110" i="1"/>
  <c r="I173" i="1"/>
  <c r="J173" i="1"/>
  <c r="I45" i="1"/>
  <c r="J45" i="1"/>
  <c r="I76" i="1"/>
  <c r="J76" i="1"/>
  <c r="I185" i="1"/>
  <c r="J185" i="1"/>
  <c r="I187" i="1"/>
  <c r="J187" i="1"/>
  <c r="I59" i="1"/>
  <c r="J59" i="1"/>
  <c r="I107" i="1"/>
  <c r="J107" i="1"/>
  <c r="I43" i="1"/>
  <c r="J43" i="1"/>
  <c r="I188" i="1"/>
  <c r="J188" i="1"/>
  <c r="I121" i="1"/>
  <c r="J121" i="1"/>
  <c r="I202" i="1"/>
  <c r="J202" i="1"/>
  <c r="I116" i="1"/>
  <c r="J116" i="1"/>
  <c r="I139" i="1"/>
  <c r="J139" i="1"/>
  <c r="I136" i="1"/>
  <c r="J136" i="1"/>
  <c r="I181" i="1"/>
  <c r="J181" i="1"/>
  <c r="I106" i="1"/>
  <c r="J106" i="1"/>
  <c r="I7" i="1"/>
  <c r="J7" i="1"/>
  <c r="I5" i="1"/>
  <c r="J5" i="1"/>
  <c r="I164" i="1"/>
  <c r="J164" i="1"/>
  <c r="I36" i="1"/>
  <c r="J36" i="1"/>
  <c r="I49" i="1"/>
  <c r="J49" i="1"/>
  <c r="I38" i="1"/>
  <c r="J38" i="1"/>
  <c r="I37" i="1"/>
  <c r="J37" i="1"/>
  <c r="I155" i="1"/>
  <c r="J155" i="1"/>
  <c r="I192" i="1"/>
  <c r="J192" i="1"/>
  <c r="I142" i="1"/>
  <c r="J142" i="1"/>
  <c r="I112" i="1"/>
  <c r="J112" i="1"/>
  <c r="I58" i="1"/>
  <c r="J58" i="1"/>
  <c r="I157" i="1"/>
  <c r="J157" i="1"/>
  <c r="I27" i="1"/>
  <c r="J27" i="1"/>
  <c r="I60" i="1"/>
  <c r="J60" i="1"/>
  <c r="I153" i="1"/>
  <c r="J153" i="1"/>
  <c r="I147" i="1"/>
  <c r="J147" i="1"/>
  <c r="I39" i="1"/>
  <c r="J39" i="1"/>
  <c r="I10" i="1"/>
  <c r="J10" i="1"/>
  <c r="I31" i="1"/>
  <c r="J31" i="1"/>
  <c r="I140" i="1"/>
  <c r="J140" i="1"/>
  <c r="I73" i="1"/>
  <c r="J73" i="1"/>
  <c r="I16" i="1"/>
  <c r="J16" i="1"/>
  <c r="I84" i="1"/>
  <c r="J84" i="1"/>
  <c r="I186" i="1"/>
  <c r="J186" i="1"/>
  <c r="I104" i="1"/>
  <c r="J104" i="1"/>
  <c r="I119" i="1"/>
  <c r="J119" i="1"/>
  <c r="I100" i="1"/>
  <c r="J100" i="1"/>
  <c r="I149" i="1"/>
  <c r="J149" i="1"/>
  <c r="I42" i="1"/>
  <c r="J42" i="1"/>
  <c r="I129" i="1"/>
  <c r="J129" i="1"/>
  <c r="I195" i="1"/>
  <c r="J195" i="1"/>
  <c r="I193" i="1"/>
  <c r="J193" i="1"/>
  <c r="I169" i="1"/>
  <c r="J169" i="1"/>
  <c r="I168" i="1"/>
  <c r="J168" i="1"/>
  <c r="I3" i="1"/>
  <c r="J3" i="1"/>
  <c r="I123" i="1"/>
  <c r="J123" i="1"/>
  <c r="I79" i="1"/>
  <c r="J79" i="1"/>
  <c r="I194" i="1"/>
  <c r="J194" i="1"/>
  <c r="I191" i="1"/>
  <c r="J191" i="1"/>
  <c r="I92" i="1"/>
  <c r="J92" i="1"/>
  <c r="I23" i="1"/>
  <c r="J23" i="1"/>
  <c r="I35" i="1"/>
  <c r="J35" i="1"/>
  <c r="I52" i="1"/>
  <c r="J52" i="1"/>
  <c r="I196" i="1"/>
  <c r="J196" i="1"/>
  <c r="I72" i="1"/>
  <c r="J72" i="1"/>
  <c r="I166" i="1"/>
  <c r="J166" i="1"/>
  <c r="I29" i="1"/>
  <c r="J29" i="1"/>
  <c r="I19" i="1"/>
  <c r="J19" i="1"/>
  <c r="I197" i="1"/>
  <c r="J197" i="1"/>
  <c r="I68" i="1"/>
  <c r="J68" i="1"/>
  <c r="I207" i="1"/>
  <c r="J207" i="1"/>
  <c r="I25" i="1"/>
  <c r="J25" i="1"/>
  <c r="I102" i="1"/>
  <c r="J102" i="1"/>
  <c r="I135" i="1"/>
  <c r="J135" i="1"/>
  <c r="I24" i="1"/>
  <c r="J24" i="1"/>
  <c r="I115" i="1"/>
  <c r="J115" i="1"/>
  <c r="I51" i="1"/>
  <c r="J51" i="1"/>
  <c r="I50" i="1"/>
  <c r="J50" i="1"/>
  <c r="I170" i="1"/>
  <c r="J170" i="1"/>
  <c r="I125" i="1"/>
  <c r="J125" i="1"/>
  <c r="I98" i="1"/>
  <c r="J98" i="1"/>
  <c r="I105" i="1"/>
  <c r="J105" i="1"/>
  <c r="I103" i="1"/>
  <c r="J103" i="1"/>
  <c r="I203" i="1"/>
  <c r="J203" i="1"/>
  <c r="I205" i="1"/>
  <c r="J205" i="1"/>
  <c r="I175" i="1"/>
  <c r="J175" i="1"/>
  <c r="I167" i="1"/>
  <c r="J167" i="1"/>
  <c r="I63" i="1"/>
  <c r="J63" i="1"/>
  <c r="I174" i="1"/>
  <c r="J174" i="1"/>
  <c r="I111" i="1"/>
  <c r="J111" i="1"/>
  <c r="I40" i="1"/>
  <c r="J40" i="1"/>
  <c r="I120" i="1"/>
  <c r="J120" i="1"/>
  <c r="I161" i="1"/>
  <c r="J161" i="1"/>
  <c r="I75" i="1"/>
  <c r="J75" i="1"/>
  <c r="I85" i="1"/>
  <c r="J85" i="1"/>
  <c r="I47" i="1"/>
  <c r="J47" i="1"/>
  <c r="I113" i="1"/>
  <c r="J113" i="1"/>
  <c r="I18" i="1"/>
  <c r="J18" i="1"/>
  <c r="I158" i="1"/>
  <c r="J158" i="1"/>
  <c r="I131" i="1"/>
  <c r="J131" i="1"/>
  <c r="I13" i="1"/>
  <c r="J13" i="1"/>
  <c r="I88" i="1"/>
  <c r="J88" i="1"/>
  <c r="I96" i="1"/>
  <c r="J96" i="1"/>
  <c r="I137" i="1"/>
  <c r="J137" i="1"/>
  <c r="I8" i="1"/>
  <c r="J8" i="1"/>
  <c r="I64" i="1"/>
  <c r="J64" i="1"/>
  <c r="I126" i="1"/>
  <c r="J126" i="1"/>
  <c r="I109" i="1"/>
  <c r="J109" i="1"/>
  <c r="I172" i="1"/>
  <c r="J172" i="1"/>
  <c r="I46" i="1"/>
  <c r="J46" i="1"/>
  <c r="I89" i="1"/>
  <c r="J89" i="1"/>
  <c r="I190" i="1"/>
  <c r="J190" i="1"/>
  <c r="I189" i="1"/>
  <c r="J189" i="1"/>
  <c r="I143" i="1"/>
  <c r="J143" i="1"/>
  <c r="I146" i="1"/>
  <c r="J146" i="1"/>
  <c r="I206" i="1"/>
  <c r="J206" i="1"/>
  <c r="I154" i="1"/>
  <c r="J154" i="1"/>
  <c r="I70" i="1"/>
  <c r="J70" i="1"/>
  <c r="I199" i="1"/>
  <c r="J199" i="1"/>
  <c r="I82" i="1"/>
  <c r="J82" i="1"/>
  <c r="I97" i="1"/>
  <c r="J97" i="1"/>
  <c r="I138" i="1"/>
  <c r="J138" i="1"/>
  <c r="I20" i="1"/>
  <c r="J20" i="1"/>
  <c r="I65" i="1"/>
  <c r="J65" i="1"/>
  <c r="I152" i="1"/>
  <c r="J152" i="1"/>
  <c r="I17" i="1"/>
  <c r="J17" i="1"/>
  <c r="I9" i="1"/>
  <c r="J9" i="1"/>
  <c r="I67" i="1"/>
  <c r="J67" i="1"/>
  <c r="I94" i="1"/>
  <c r="J94" i="1"/>
  <c r="I91" i="1"/>
  <c r="J91" i="1"/>
  <c r="I198" i="1"/>
  <c r="J198" i="1"/>
  <c r="I176" i="1"/>
  <c r="J176" i="1"/>
  <c r="I78" i="1"/>
  <c r="J78" i="1"/>
  <c r="I156" i="1"/>
  <c r="J156" i="1"/>
  <c r="I57" i="1"/>
  <c r="J57" i="1"/>
  <c r="I201" i="1"/>
  <c r="J201" i="1"/>
  <c r="I204" i="1"/>
  <c r="J204" i="1"/>
  <c r="I178" i="1"/>
  <c r="J178" i="1"/>
  <c r="I12" i="1"/>
  <c r="J12" i="1"/>
  <c r="I183" i="1"/>
  <c r="J183" i="1"/>
  <c r="I62" i="1"/>
  <c r="J62" i="1"/>
  <c r="I118" i="1"/>
  <c r="J118" i="1"/>
  <c r="I30" i="1"/>
  <c r="J30" i="1"/>
  <c r="I165" i="1"/>
  <c r="J165" i="1"/>
  <c r="I33" i="1"/>
  <c r="J33" i="1"/>
  <c r="I145" i="1"/>
  <c r="J145" i="1"/>
  <c r="I55" i="1"/>
  <c r="J55" i="1"/>
  <c r="I53" i="1"/>
  <c r="J53" i="1"/>
  <c r="I177" i="1"/>
  <c r="J177" i="1"/>
  <c r="I95" i="1"/>
  <c r="J95" i="1"/>
  <c r="I108" i="1"/>
  <c r="J108" i="1"/>
  <c r="I163" i="1"/>
  <c r="J163" i="1"/>
  <c r="I69" i="1"/>
  <c r="J69" i="1"/>
  <c r="I71" i="1"/>
  <c r="J71" i="1"/>
  <c r="I141" i="1"/>
  <c r="J141" i="1"/>
  <c r="I4" i="1"/>
  <c r="J4" i="1"/>
  <c r="I159" i="1"/>
  <c r="J159" i="1"/>
  <c r="I48" i="1"/>
  <c r="J48" i="1"/>
  <c r="I93" i="1"/>
  <c r="J93" i="1"/>
  <c r="I162" i="1"/>
  <c r="J162" i="1"/>
  <c r="I171" i="1"/>
  <c r="J171" i="1"/>
  <c r="I182" i="1"/>
  <c r="J182" i="1"/>
  <c r="I127" i="1"/>
  <c r="J127" i="1"/>
  <c r="I160" i="1"/>
  <c r="J160" i="1"/>
  <c r="I32" i="1"/>
  <c r="J32" i="1"/>
  <c r="I34" i="1"/>
  <c r="J34" i="1"/>
  <c r="I77" i="1"/>
  <c r="J77" i="1"/>
  <c r="I124" i="1"/>
  <c r="J124" i="1"/>
  <c r="I114" i="1"/>
  <c r="J114" i="1"/>
  <c r="I41" i="1"/>
  <c r="J41" i="1"/>
  <c r="I200" i="1"/>
  <c r="J200" i="1"/>
  <c r="I151" i="1"/>
  <c r="J151" i="1"/>
  <c r="I130" i="1"/>
  <c r="J130" i="1"/>
  <c r="I66" i="1"/>
  <c r="J66" i="1"/>
  <c r="I99" i="1"/>
  <c r="J99" i="1"/>
  <c r="I180" i="1"/>
  <c r="J180" i="1"/>
  <c r="I90" i="1"/>
  <c r="J90" i="1"/>
  <c r="I28" i="1"/>
  <c r="J28" i="1"/>
  <c r="I150" i="1"/>
  <c r="J150" i="1"/>
  <c r="I101" i="1"/>
  <c r="J101" i="1"/>
  <c r="I74" i="1"/>
  <c r="J74" i="1"/>
  <c r="I15" i="1"/>
  <c r="J15" i="1"/>
  <c r="I56" i="1"/>
  <c r="J56" i="1"/>
  <c r="I184" i="1"/>
  <c r="J184" i="1"/>
  <c r="I122" i="1"/>
  <c r="J122" i="1"/>
  <c r="I117" i="1"/>
  <c r="J117" i="1"/>
</calcChain>
</file>

<file path=xl/sharedStrings.xml><?xml version="1.0" encoding="utf-8"?>
<sst xmlns="http://schemas.openxmlformats.org/spreadsheetml/2006/main" count="1991" uniqueCount="1100">
  <si>
    <t>Code</t>
  </si>
  <si>
    <t>Klassifikator</t>
  </si>
  <si>
    <t>Klassifikator_ru</t>
  </si>
  <si>
    <t>Klassifikator_en</t>
  </si>
  <si>
    <t>2024</t>
  </si>
  <si>
    <t>1700</t>
  </si>
  <si>
    <t>1735</t>
  </si>
  <si>
    <t>1735401</t>
  </si>
  <si>
    <t>1735204</t>
  </si>
  <si>
    <t>1735207</t>
  </si>
  <si>
    <t>1735209</t>
  </si>
  <si>
    <t>1735211</t>
  </si>
  <si>
    <t>1735212</t>
  </si>
  <si>
    <t>1735215</t>
  </si>
  <si>
    <t>1735218</t>
  </si>
  <si>
    <t>1735222</t>
  </si>
  <si>
    <t>1735225</t>
  </si>
  <si>
    <t>1735228</t>
  </si>
  <si>
    <t>1735230</t>
  </si>
  <si>
    <t>1735233</t>
  </si>
  <si>
    <t>1735236</t>
  </si>
  <si>
    <t>1735240</t>
  </si>
  <si>
    <t>1735243</t>
  </si>
  <si>
    <t>1735250</t>
  </si>
  <si>
    <t>1703</t>
  </si>
  <si>
    <t>1703401</t>
  </si>
  <si>
    <t>1703408</t>
  </si>
  <si>
    <t>1703202</t>
  </si>
  <si>
    <t>1703203</t>
  </si>
  <si>
    <t>1703206</t>
  </si>
  <si>
    <t>1703209</t>
  </si>
  <si>
    <t>1703210</t>
  </si>
  <si>
    <t>1703211</t>
  </si>
  <si>
    <t>1703214</t>
  </si>
  <si>
    <t>1703217</t>
  </si>
  <si>
    <t>1703220</t>
  </si>
  <si>
    <t>1703224</t>
  </si>
  <si>
    <t>1703227</t>
  </si>
  <si>
    <t>1703230</t>
  </si>
  <si>
    <t>1703232</t>
  </si>
  <si>
    <t>1703236</t>
  </si>
  <si>
    <t>1706</t>
  </si>
  <si>
    <t>1706401</t>
  </si>
  <si>
    <t>1706403</t>
  </si>
  <si>
    <t>1706204</t>
  </si>
  <si>
    <t>1706207</t>
  </si>
  <si>
    <t>1706212</t>
  </si>
  <si>
    <t>1706215</t>
  </si>
  <si>
    <t>1706219</t>
  </si>
  <si>
    <t>1706230</t>
  </si>
  <si>
    <t>1706232</t>
  </si>
  <si>
    <t>1706240</t>
  </si>
  <si>
    <t>1706242</t>
  </si>
  <si>
    <t>1706246</t>
  </si>
  <si>
    <t>1706258</t>
  </si>
  <si>
    <t>1708</t>
  </si>
  <si>
    <t>1708401</t>
  </si>
  <si>
    <t>1708201</t>
  </si>
  <si>
    <t>1708204</t>
  </si>
  <si>
    <t>1708209</t>
  </si>
  <si>
    <t>1708212</t>
  </si>
  <si>
    <t>1708215</t>
  </si>
  <si>
    <t>1708218</t>
  </si>
  <si>
    <t>1708220</t>
  </si>
  <si>
    <t>1708223</t>
  </si>
  <si>
    <t>1708225</t>
  </si>
  <si>
    <t>1708228</t>
  </si>
  <si>
    <t>1708235</t>
  </si>
  <si>
    <t>1708237</t>
  </si>
  <si>
    <t>1710</t>
  </si>
  <si>
    <t>1710401</t>
  </si>
  <si>
    <t>1710405</t>
  </si>
  <si>
    <t>1710240</t>
  </si>
  <si>
    <t>1710207</t>
  </si>
  <si>
    <t>1710212</t>
  </si>
  <si>
    <t>1710220</t>
  </si>
  <si>
    <t>1710224</t>
  </si>
  <si>
    <t>1710229</t>
  </si>
  <si>
    <t>1710232</t>
  </si>
  <si>
    <t>1710233</t>
  </si>
  <si>
    <t>1710234</t>
  </si>
  <si>
    <t>1710235</t>
  </si>
  <si>
    <t>1710237</t>
  </si>
  <si>
    <t>1710242</t>
  </si>
  <si>
    <t>1710245</t>
  </si>
  <si>
    <t>1710250</t>
  </si>
  <si>
    <t>1712</t>
  </si>
  <si>
    <t>1712401</t>
  </si>
  <si>
    <t>1712408</t>
  </si>
  <si>
    <t>1712412</t>
  </si>
  <si>
    <t>1712211</t>
  </si>
  <si>
    <t>1712216</t>
  </si>
  <si>
    <t>1712230</t>
  </si>
  <si>
    <t>1712234</t>
  </si>
  <si>
    <t>1712238</t>
  </si>
  <si>
    <t>1712244</t>
  </si>
  <si>
    <t>1712248</t>
  </si>
  <si>
    <t>1712251</t>
  </si>
  <si>
    <t>1714</t>
  </si>
  <si>
    <t>1714401</t>
  </si>
  <si>
    <t>1714204</t>
  </si>
  <si>
    <t>1714207</t>
  </si>
  <si>
    <t>1714212</t>
  </si>
  <si>
    <t>1714216</t>
  </si>
  <si>
    <t>1714219</t>
  </si>
  <si>
    <t>1714224</t>
  </si>
  <si>
    <t>1714229</t>
  </si>
  <si>
    <t>1714234</t>
  </si>
  <si>
    <t>1714236</t>
  </si>
  <si>
    <t>1714237</t>
  </si>
  <si>
    <t>1714242</t>
  </si>
  <si>
    <t>1718</t>
  </si>
  <si>
    <t>1718401</t>
  </si>
  <si>
    <t>1718406</t>
  </si>
  <si>
    <t>1718203</t>
  </si>
  <si>
    <t>1718206</t>
  </si>
  <si>
    <t>1718209</t>
  </si>
  <si>
    <t>1718212</t>
  </si>
  <si>
    <t>1718215</t>
  </si>
  <si>
    <t>1718216</t>
  </si>
  <si>
    <t>1718218</t>
  </si>
  <si>
    <t>1718224</t>
  </si>
  <si>
    <t>1718227</t>
  </si>
  <si>
    <t>1718230</t>
  </si>
  <si>
    <t>1718233</t>
  </si>
  <si>
    <t>1718235</t>
  </si>
  <si>
    <t>1718236</t>
  </si>
  <si>
    <t>1718238</t>
  </si>
  <si>
    <t>1722</t>
  </si>
  <si>
    <t>1722401</t>
  </si>
  <si>
    <t>1722201</t>
  </si>
  <si>
    <t>1722202</t>
  </si>
  <si>
    <t>1722203</t>
  </si>
  <si>
    <t>1722204</t>
  </si>
  <si>
    <t>1722207</t>
  </si>
  <si>
    <t>1722210</t>
  </si>
  <si>
    <t>1722212</t>
  </si>
  <si>
    <t>1722214</t>
  </si>
  <si>
    <t>1722215</t>
  </si>
  <si>
    <t>1722217</t>
  </si>
  <si>
    <t>1722220</t>
  </si>
  <si>
    <t>1722221</t>
  </si>
  <si>
    <t>1722223</t>
  </si>
  <si>
    <t>1722226</t>
  </si>
  <si>
    <t>1724</t>
  </si>
  <si>
    <t>1724401</t>
  </si>
  <si>
    <t>1724410</t>
  </si>
  <si>
    <t>1724413</t>
  </si>
  <si>
    <t>1724206</t>
  </si>
  <si>
    <t>1724212</t>
  </si>
  <si>
    <t>1724216</t>
  </si>
  <si>
    <t>1724220</t>
  </si>
  <si>
    <t>1724226</t>
  </si>
  <si>
    <t>1724228</t>
  </si>
  <si>
    <t>1724231</t>
  </si>
  <si>
    <t>1724235</t>
  </si>
  <si>
    <t>1727</t>
  </si>
  <si>
    <t>1727401</t>
  </si>
  <si>
    <t>1727404</t>
  </si>
  <si>
    <t>1727407</t>
  </si>
  <si>
    <t>1727413</t>
  </si>
  <si>
    <t>1727419</t>
  </si>
  <si>
    <t>1727415</t>
  </si>
  <si>
    <t>1727424</t>
  </si>
  <si>
    <t>1727206</t>
  </si>
  <si>
    <t>1727212</t>
  </si>
  <si>
    <t>1727220</t>
  </si>
  <si>
    <t>1727224</t>
  </si>
  <si>
    <t>1727228</t>
  </si>
  <si>
    <t>1727233</t>
  </si>
  <si>
    <t>1727237</t>
  </si>
  <si>
    <t>1727239</t>
  </si>
  <si>
    <t>1727248</t>
  </si>
  <si>
    <t>1727249</t>
  </si>
  <si>
    <t>1727250</t>
  </si>
  <si>
    <t>1727253</t>
  </si>
  <si>
    <t>1727256</t>
  </si>
  <si>
    <t>1727259</t>
  </si>
  <si>
    <t>1727265</t>
  </si>
  <si>
    <t>1730</t>
  </si>
  <si>
    <t>1730401</t>
  </si>
  <si>
    <t>1730405</t>
  </si>
  <si>
    <t>1730408</t>
  </si>
  <si>
    <t>1730412</t>
  </si>
  <si>
    <t>1730203</t>
  </si>
  <si>
    <t>1730206</t>
  </si>
  <si>
    <t>1730209</t>
  </si>
  <si>
    <t>1730212</t>
  </si>
  <si>
    <t>1730215</t>
  </si>
  <si>
    <t>1730218</t>
  </si>
  <si>
    <t>1730221</t>
  </si>
  <si>
    <t>1730224</t>
  </si>
  <si>
    <t>1730226</t>
  </si>
  <si>
    <t>1730227</t>
  </si>
  <si>
    <t>1730230</t>
  </si>
  <si>
    <t>1730233</t>
  </si>
  <si>
    <t>1730236</t>
  </si>
  <si>
    <t>1730238</t>
  </si>
  <si>
    <t>1730242</t>
  </si>
  <si>
    <t>1733</t>
  </si>
  <si>
    <t>1733401</t>
  </si>
  <si>
    <t>1733406</t>
  </si>
  <si>
    <t>1733204</t>
  </si>
  <si>
    <t>1733208</t>
  </si>
  <si>
    <t>1733212</t>
  </si>
  <si>
    <t>1733217</t>
  </si>
  <si>
    <t>1733220</t>
  </si>
  <si>
    <t>1733221</t>
  </si>
  <si>
    <t>1733223</t>
  </si>
  <si>
    <t>1733226</t>
  </si>
  <si>
    <t>1733230</t>
  </si>
  <si>
    <t>1733233</t>
  </si>
  <si>
    <t>1733236</t>
  </si>
  <si>
    <t>1726</t>
  </si>
  <si>
    <t>1726262</t>
  </si>
  <si>
    <t>1726264</t>
  </si>
  <si>
    <t>1726266</t>
  </si>
  <si>
    <t>1726269</t>
  </si>
  <si>
    <t>1726273</t>
  </si>
  <si>
    <t>1726277</t>
  </si>
  <si>
    <t>1726280</t>
  </si>
  <si>
    <t>1726283</t>
  </si>
  <si>
    <t>1726287</t>
  </si>
  <si>
    <t>1726290</t>
  </si>
  <si>
    <t>1726292</t>
  </si>
  <si>
    <t>1726294</t>
  </si>
  <si>
    <t>O‘zbekiston Respublikasi</t>
  </si>
  <si>
    <t>Qoraqalpog‘iston Respublikasi</t>
  </si>
  <si>
    <t>Nukus shahri</t>
  </si>
  <si>
    <t>Amudaryo tumani</t>
  </si>
  <si>
    <t>Beruniy tumani</t>
  </si>
  <si>
    <t>Bo‘zatov tumani</t>
  </si>
  <si>
    <t>Qorao‘zak tumani</t>
  </si>
  <si>
    <t>Kegeyli tumani</t>
  </si>
  <si>
    <t>Qo‘ng‘irot tumani</t>
  </si>
  <si>
    <t>Qanliko‘l tumani</t>
  </si>
  <si>
    <t>Mo‘ynoq tumani</t>
  </si>
  <si>
    <t>Nukus tumani</t>
  </si>
  <si>
    <t>Taxiatosh tumani</t>
  </si>
  <si>
    <t>Taxtako‘pir tumani</t>
  </si>
  <si>
    <t>To‘rtko‘l tumani</t>
  </si>
  <si>
    <t>Xo‘jayli tumani</t>
  </si>
  <si>
    <t>Chimboy tumani</t>
  </si>
  <si>
    <t>Shumanay tumani</t>
  </si>
  <si>
    <t>Ellikkala tumani</t>
  </si>
  <si>
    <t>Andijon viloyati</t>
  </si>
  <si>
    <t>Andijon shahri</t>
  </si>
  <si>
    <t>Xonobod shahri</t>
  </si>
  <si>
    <t>Oltinko‘l tumani</t>
  </si>
  <si>
    <t>Andijon tumani</t>
  </si>
  <si>
    <t>Baliqchi tumani</t>
  </si>
  <si>
    <t>Bo‘ston tumani</t>
  </si>
  <si>
    <t>Buloqboshi tumani</t>
  </si>
  <si>
    <t>Jalaquduq tumani</t>
  </si>
  <si>
    <t>Izboskan tumani</t>
  </si>
  <si>
    <t>Ulug‘nor tumani</t>
  </si>
  <si>
    <t>Qo‘rg‘ontepa tumani</t>
  </si>
  <si>
    <t>Asaka tumani</t>
  </si>
  <si>
    <t>Marxamat tumani</t>
  </si>
  <si>
    <t>Shaxrixon tumani</t>
  </si>
  <si>
    <t>Paxtaobod tumani</t>
  </si>
  <si>
    <t>Xo‘jaobod tumani</t>
  </si>
  <si>
    <t>Buxoro viloyati</t>
  </si>
  <si>
    <t>Buxoro shahri</t>
  </si>
  <si>
    <t>Kogon shahri</t>
  </si>
  <si>
    <t>Olot tumani</t>
  </si>
  <si>
    <t>Buxoro tumani</t>
  </si>
  <si>
    <t>Vobkent tumani</t>
  </si>
  <si>
    <t>G‘ijduvontumani</t>
  </si>
  <si>
    <t>Kogon tumani</t>
  </si>
  <si>
    <t>Qorako‘l tumani</t>
  </si>
  <si>
    <t>Qorovulbozor tumani</t>
  </si>
  <si>
    <t>Peshku tumani</t>
  </si>
  <si>
    <t>Romitan tumani</t>
  </si>
  <si>
    <t>Jondor tumani</t>
  </si>
  <si>
    <t>Shofirkon tumani</t>
  </si>
  <si>
    <t>Jizzax viloyati</t>
  </si>
  <si>
    <t>Jizzax shahri</t>
  </si>
  <si>
    <t>Arnasoy tumani</t>
  </si>
  <si>
    <t>Baxmal tumani</t>
  </si>
  <si>
    <t>G‘allaorol tumani</t>
  </si>
  <si>
    <t>Sharof Rashidov tumani</t>
  </si>
  <si>
    <t>Do‘stlik tumani</t>
  </si>
  <si>
    <t>Zomin tumani</t>
  </si>
  <si>
    <t>Zarbdor tumani</t>
  </si>
  <si>
    <t>Mirzacho‘l tumani</t>
  </si>
  <si>
    <t>Zafarobod tumani</t>
  </si>
  <si>
    <t>Paxtakor tumani</t>
  </si>
  <si>
    <t>Forish tumani</t>
  </si>
  <si>
    <t>Yangiobod tumani</t>
  </si>
  <si>
    <t>Qashqadaryo viloyati</t>
  </si>
  <si>
    <t>Qarshi  shahri</t>
  </si>
  <si>
    <t>Shahrisabz shahri</t>
  </si>
  <si>
    <t>Ko‘kdala tumani</t>
  </si>
  <si>
    <t>G‘uzor tumani</t>
  </si>
  <si>
    <t>Dehqonobod tumani</t>
  </si>
  <si>
    <t>Qamashi tumani</t>
  </si>
  <si>
    <t>Qarshi tumani</t>
  </si>
  <si>
    <t>Koson tumani</t>
  </si>
  <si>
    <t>Kitob tumani</t>
  </si>
  <si>
    <t>Mirishkor tumani</t>
  </si>
  <si>
    <t>Muborak tumani</t>
  </si>
  <si>
    <t>Nishon tumani</t>
  </si>
  <si>
    <t>Kasbi tumani</t>
  </si>
  <si>
    <t>Chiroqchi tumani</t>
  </si>
  <si>
    <t>Shahrisabz tumani</t>
  </si>
  <si>
    <t>Yakkabog‘ tumani</t>
  </si>
  <si>
    <t>Navoiy viloyati</t>
  </si>
  <si>
    <t>Navoiy shahri</t>
  </si>
  <si>
    <t>Zarafshon shahri</t>
  </si>
  <si>
    <t>G‘ozg‘on shahri</t>
  </si>
  <si>
    <t>Konimex tumani</t>
  </si>
  <si>
    <t>Qiziltepa tumani</t>
  </si>
  <si>
    <t>Navbahor tumani</t>
  </si>
  <si>
    <t>Karmana tumani</t>
  </si>
  <si>
    <t>Nurota tumani</t>
  </si>
  <si>
    <t>Tomdi tumani</t>
  </si>
  <si>
    <t>Uchquduq tumani</t>
  </si>
  <si>
    <t>Xatirchi tumani</t>
  </si>
  <si>
    <t>Namangan viloyati</t>
  </si>
  <si>
    <t>Namangan shahri</t>
  </si>
  <si>
    <t>Mingbuloq tumani</t>
  </si>
  <si>
    <t>Kosonsoy tumani</t>
  </si>
  <si>
    <t>Namangan tumani</t>
  </si>
  <si>
    <t>Norin tumani</t>
  </si>
  <si>
    <t>Pop tumani</t>
  </si>
  <si>
    <t>To‘raqo‘rg‘on tumani</t>
  </si>
  <si>
    <t>Uychi tumani</t>
  </si>
  <si>
    <t>Uchqo‘rg‘on tumani</t>
  </si>
  <si>
    <t>Chortoq tumani</t>
  </si>
  <si>
    <t>Chust tumani</t>
  </si>
  <si>
    <t>Yangiqo‘rg‘on tumani</t>
  </si>
  <si>
    <t>Samarqand viloyati</t>
  </si>
  <si>
    <t>Samarqand shahri</t>
  </si>
  <si>
    <t>Kattaqo'rg'on shahar</t>
  </si>
  <si>
    <t>Oqdaryo tumani</t>
  </si>
  <si>
    <t>Bulung‘ur tumani</t>
  </si>
  <si>
    <t>Jomboy tumani</t>
  </si>
  <si>
    <t>Ishtixon tumani</t>
  </si>
  <si>
    <t>Kattaqo‘rg‘on tumani</t>
  </si>
  <si>
    <t>Qo‘shrabot tumani</t>
  </si>
  <si>
    <t>Narpay tumani</t>
  </si>
  <si>
    <t>Payariq tumani</t>
  </si>
  <si>
    <t>Pastdarg‘om tumani</t>
  </si>
  <si>
    <t>Paxtachi tumani</t>
  </si>
  <si>
    <t>Samarqand tumani</t>
  </si>
  <si>
    <t>Nurobod tumani</t>
  </si>
  <si>
    <t>Urgut tumani</t>
  </si>
  <si>
    <t>Tayloq tumani</t>
  </si>
  <si>
    <t>Surxondaryo viloyati</t>
  </si>
  <si>
    <t>Termiz shahri</t>
  </si>
  <si>
    <t>Oltinsoy tumani</t>
  </si>
  <si>
    <t>Angor tumani</t>
  </si>
  <si>
    <t>Bandixon tumani</t>
  </si>
  <si>
    <t>Boysun tumani</t>
  </si>
  <si>
    <t>Muzrabot tumani</t>
  </si>
  <si>
    <t>Denov tumani</t>
  </si>
  <si>
    <t>Jarqo‘rg‘on tumani</t>
  </si>
  <si>
    <t>Qumqo‘rg‘on tumani</t>
  </si>
  <si>
    <t>Qiziriq tumani</t>
  </si>
  <si>
    <t>Sariosiyo tumani</t>
  </si>
  <si>
    <t>Termiz tumani</t>
  </si>
  <si>
    <t>Uzun tumani</t>
  </si>
  <si>
    <t>Sherobod tumani</t>
  </si>
  <si>
    <t>Sho‘rchi tumani</t>
  </si>
  <si>
    <t>Sirdaryo viloyati</t>
  </si>
  <si>
    <t>Guliston shahri</t>
  </si>
  <si>
    <t>Shirin shahri</t>
  </si>
  <si>
    <t>Yangiyer shahri</t>
  </si>
  <si>
    <t>Oqoltin tumani</t>
  </si>
  <si>
    <t>Boyovut tumani</t>
  </si>
  <si>
    <t>Sayxunobod tumani</t>
  </si>
  <si>
    <t>Guliston tumani</t>
  </si>
  <si>
    <t>Sardoba tumani</t>
  </si>
  <si>
    <t>Mirzaobod tumani</t>
  </si>
  <si>
    <t>Sirdaryo tumani</t>
  </si>
  <si>
    <t>Xovos tumani</t>
  </si>
  <si>
    <t>Toshkent viloyati</t>
  </si>
  <si>
    <t>Nurafshon shahri</t>
  </si>
  <si>
    <t>Olmaliq shahri</t>
  </si>
  <si>
    <t>Angren shahri</t>
  </si>
  <si>
    <t>Bekobod shahri</t>
  </si>
  <si>
    <t>Chirchiq shahri</t>
  </si>
  <si>
    <t>Ohangaron shahri</t>
  </si>
  <si>
    <t>Yangiyo‘lshahri</t>
  </si>
  <si>
    <t>Oqqo‘rg‘on tumani</t>
  </si>
  <si>
    <t>Ohangaron tumani</t>
  </si>
  <si>
    <t>Bekobod tumani</t>
  </si>
  <si>
    <t>Bo‘stonliq tumani</t>
  </si>
  <si>
    <t>Bo‘ka tumani</t>
  </si>
  <si>
    <t>Quyichirchiq tumani</t>
  </si>
  <si>
    <t>Zangiota tumani</t>
  </si>
  <si>
    <t>Yuqorichirchiq tumani</t>
  </si>
  <si>
    <t>Qibray tumani</t>
  </si>
  <si>
    <t>Parkent tumani</t>
  </si>
  <si>
    <t>Piskent tumani</t>
  </si>
  <si>
    <t>O‘rtachirchiq tumani</t>
  </si>
  <si>
    <t>Chinoz tumani</t>
  </si>
  <si>
    <t>Yangiyo‘l tumani</t>
  </si>
  <si>
    <t>Toshkent tumani</t>
  </si>
  <si>
    <t>Farg‘ona  viloyati</t>
  </si>
  <si>
    <t>Farg‘ona shahri</t>
  </si>
  <si>
    <t>Qo‘qon shahri</t>
  </si>
  <si>
    <t>Quvasoy shahri</t>
  </si>
  <si>
    <t>Marg‘ilon shahri</t>
  </si>
  <si>
    <t>Oltiariq tumani</t>
  </si>
  <si>
    <t>Qo‘shtepa tumani</t>
  </si>
  <si>
    <t>Bog‘dod tumani</t>
  </si>
  <si>
    <t>Buvayda tumani</t>
  </si>
  <si>
    <t>Beshariq tumani</t>
  </si>
  <si>
    <t>Quva tumani</t>
  </si>
  <si>
    <t>Uchko‘prik tumani</t>
  </si>
  <si>
    <t>Rishton tumani</t>
  </si>
  <si>
    <t>So‘x tumani</t>
  </si>
  <si>
    <t>Toshloq tumani</t>
  </si>
  <si>
    <t>O‘zbekiston tumani</t>
  </si>
  <si>
    <t>Farg‘ona tumani</t>
  </si>
  <si>
    <t>Dang‘ara tumani</t>
  </si>
  <si>
    <t>Furqat tumani</t>
  </si>
  <si>
    <t>Yozyovon tumani</t>
  </si>
  <si>
    <t>Xorazm viloyati</t>
  </si>
  <si>
    <t>Urganch shahri</t>
  </si>
  <si>
    <t>Xiva shahri</t>
  </si>
  <si>
    <t>Bog‘ot tumani</t>
  </si>
  <si>
    <t>Gurlan tumani</t>
  </si>
  <si>
    <t>Qo‘shko‘pir tumani</t>
  </si>
  <si>
    <t>Urganch tumani</t>
  </si>
  <si>
    <t>Xazorasp tumani</t>
  </si>
  <si>
    <t>Tuproqqal’a tumani</t>
  </si>
  <si>
    <t>Xonqa tumani</t>
  </si>
  <si>
    <t>Xiva tumani</t>
  </si>
  <si>
    <t>Shovot tumani</t>
  </si>
  <si>
    <t>Yangiariq tumani</t>
  </si>
  <si>
    <t>Yangibozor tumani</t>
  </si>
  <si>
    <t>Toshkent shahri</t>
  </si>
  <si>
    <t>Uchtepa tumani</t>
  </si>
  <si>
    <t>Bektemir tumani</t>
  </si>
  <si>
    <t>Yunusobod tumani</t>
  </si>
  <si>
    <t>Mirzo Ulug‘bek tumani</t>
  </si>
  <si>
    <t>Mirobod tumani</t>
  </si>
  <si>
    <t>Shayxontoxur tumani</t>
  </si>
  <si>
    <t>Olmazor tumani</t>
  </si>
  <si>
    <t>Sirg‘ali tumani</t>
  </si>
  <si>
    <t>Yakkasaroy tumani</t>
  </si>
  <si>
    <t>Yashnobod tumani</t>
  </si>
  <si>
    <t>Yangihayot tumani</t>
  </si>
  <si>
    <t>Chilonzor tumani</t>
  </si>
  <si>
    <t>Республика Узбекистан</t>
  </si>
  <si>
    <t>Республика Каракалпакстан</t>
  </si>
  <si>
    <t>Город Нукус</t>
  </si>
  <si>
    <t>Амударьинский район</t>
  </si>
  <si>
    <t>Берунийский район</t>
  </si>
  <si>
    <t>Бозатауский район</t>
  </si>
  <si>
    <t>Караузякский район</t>
  </si>
  <si>
    <t>Кегейлийский район</t>
  </si>
  <si>
    <t>Кунградский район</t>
  </si>
  <si>
    <t>Канлыкульский район</t>
  </si>
  <si>
    <t>Муйнакский район</t>
  </si>
  <si>
    <t>Нукусский район</t>
  </si>
  <si>
    <t>Тахиаташский район</t>
  </si>
  <si>
    <t>Тахтакупырский район</t>
  </si>
  <si>
    <t>Турткульский район</t>
  </si>
  <si>
    <t>Ходжейлийский район</t>
  </si>
  <si>
    <t>Чимбайский район</t>
  </si>
  <si>
    <t>Шуманайский район</t>
  </si>
  <si>
    <t>Элликкалинский район</t>
  </si>
  <si>
    <t>Андижанская область</t>
  </si>
  <si>
    <t>Город Андижан</t>
  </si>
  <si>
    <t>Город Ханабад</t>
  </si>
  <si>
    <t>Алтынкульский район</t>
  </si>
  <si>
    <t>Андижанский район</t>
  </si>
  <si>
    <t>Балыкчинский район</t>
  </si>
  <si>
    <t>Бустонский район</t>
  </si>
  <si>
    <t>Булакбашинский район</t>
  </si>
  <si>
    <t>Жалакудукский район</t>
  </si>
  <si>
    <t>Избасканский район</t>
  </si>
  <si>
    <t>Улугноpский район</t>
  </si>
  <si>
    <t>Кургантепинский район</t>
  </si>
  <si>
    <t>Асакинский район</t>
  </si>
  <si>
    <t>Мархаматский район</t>
  </si>
  <si>
    <t>Шахриханский район</t>
  </si>
  <si>
    <t>Пахтаабадский район</t>
  </si>
  <si>
    <t>Ходжаабадский район</t>
  </si>
  <si>
    <t>Бухарская область</t>
  </si>
  <si>
    <t>Город Бухара</t>
  </si>
  <si>
    <t>Город Каган</t>
  </si>
  <si>
    <t>Алатский район</t>
  </si>
  <si>
    <t>Бухарский район</t>
  </si>
  <si>
    <t>Вабкентский район</t>
  </si>
  <si>
    <t>Гиждуванский район</t>
  </si>
  <si>
    <t>Каганский район</t>
  </si>
  <si>
    <t>Каракульский район</t>
  </si>
  <si>
    <t>Караулбазарский район</t>
  </si>
  <si>
    <t>Пешкунский  район</t>
  </si>
  <si>
    <t>Ромитанский район</t>
  </si>
  <si>
    <t>Жондоpский район</t>
  </si>
  <si>
    <t>Шафирканский район</t>
  </si>
  <si>
    <t>Джизакская область</t>
  </si>
  <si>
    <t>Город Джизак</t>
  </si>
  <si>
    <t>Арнасайский район</t>
  </si>
  <si>
    <t>Бахмальский район</t>
  </si>
  <si>
    <t>Галляаральский район</t>
  </si>
  <si>
    <t>Шароф-Рашидовский  район</t>
  </si>
  <si>
    <t>Дустликский район</t>
  </si>
  <si>
    <t>Зааминский район</t>
  </si>
  <si>
    <t>Зарбдарский район</t>
  </si>
  <si>
    <t>Мирзачульский район</t>
  </si>
  <si>
    <t>Зафарабадский район</t>
  </si>
  <si>
    <t>Пахтакорский район</t>
  </si>
  <si>
    <t>Фаришский район</t>
  </si>
  <si>
    <t>Янгиободский район</t>
  </si>
  <si>
    <t>Кашкадарьинская область</t>
  </si>
  <si>
    <t>Город Карши</t>
  </si>
  <si>
    <t>Город Шахрисабз</t>
  </si>
  <si>
    <t>Кукдалинский район</t>
  </si>
  <si>
    <t>Гузарский район</t>
  </si>
  <si>
    <t>Дехканабадский район</t>
  </si>
  <si>
    <t>Камашинский район</t>
  </si>
  <si>
    <t>Каршинский район</t>
  </si>
  <si>
    <t>Касанский район</t>
  </si>
  <si>
    <t>Китабский район</t>
  </si>
  <si>
    <t>Миришкорский район</t>
  </si>
  <si>
    <t>Мубарекский район</t>
  </si>
  <si>
    <t>Нишанский  район</t>
  </si>
  <si>
    <t>Касбинский район</t>
  </si>
  <si>
    <t>Чиракчинский район</t>
  </si>
  <si>
    <t>Шахрисабзский район</t>
  </si>
  <si>
    <t>Яккабагский район</t>
  </si>
  <si>
    <t>Навоийская область</t>
  </si>
  <si>
    <t>Город Навои</t>
  </si>
  <si>
    <t>Город Заpафшан</t>
  </si>
  <si>
    <t>Город Газган</t>
  </si>
  <si>
    <t>Канимехский  район</t>
  </si>
  <si>
    <t>Кызылтепинский район</t>
  </si>
  <si>
    <t>Навбахорский район</t>
  </si>
  <si>
    <t>Карманинский район</t>
  </si>
  <si>
    <t>Нуратинский район</t>
  </si>
  <si>
    <t>Тамдынский район</t>
  </si>
  <si>
    <t>Учкудукский район</t>
  </si>
  <si>
    <t>Хатырчинский район</t>
  </si>
  <si>
    <t>Наманганская область</t>
  </si>
  <si>
    <t>Город Наманган</t>
  </si>
  <si>
    <t>Мингбулакский район</t>
  </si>
  <si>
    <t>Касансайский район</t>
  </si>
  <si>
    <t>Наманганский район</t>
  </si>
  <si>
    <t>Нарынский район</t>
  </si>
  <si>
    <t>Папский район</t>
  </si>
  <si>
    <t>Туракурганский район</t>
  </si>
  <si>
    <t>Уйчинский район</t>
  </si>
  <si>
    <t>Учкурганский район</t>
  </si>
  <si>
    <t>Чартакский район</t>
  </si>
  <si>
    <t>Чустский район</t>
  </si>
  <si>
    <t>Янгикурганский район</t>
  </si>
  <si>
    <t>Самаркандская область</t>
  </si>
  <si>
    <t>Город Самарканд</t>
  </si>
  <si>
    <t>Город  Каттакурган</t>
  </si>
  <si>
    <t>Акдарьинский район</t>
  </si>
  <si>
    <t>Булунгурский район</t>
  </si>
  <si>
    <t>Джамбайский район</t>
  </si>
  <si>
    <t>Иштыханский район</t>
  </si>
  <si>
    <t>Каттакурганский район</t>
  </si>
  <si>
    <t>Кошрабадский район</t>
  </si>
  <si>
    <t>Нарпайский район</t>
  </si>
  <si>
    <t>Пайарыкский район</t>
  </si>
  <si>
    <t>Пастдаргомский район</t>
  </si>
  <si>
    <t>Пахтачийский район</t>
  </si>
  <si>
    <t>Самаркандский район</t>
  </si>
  <si>
    <t>Нурабадский район</t>
  </si>
  <si>
    <t>Ургутский район</t>
  </si>
  <si>
    <t>Тайлякский район</t>
  </si>
  <si>
    <t>Сурхандарьинская область</t>
  </si>
  <si>
    <t>Город Термез</t>
  </si>
  <si>
    <t>Алтынсайский район</t>
  </si>
  <si>
    <t>Ангорский район</t>
  </si>
  <si>
    <t>Бандихонский район</t>
  </si>
  <si>
    <t>Байсунский район</t>
  </si>
  <si>
    <t>Музрабадский район</t>
  </si>
  <si>
    <t>Денауский район</t>
  </si>
  <si>
    <t>Джаркурганский район</t>
  </si>
  <si>
    <t>Кумкурганский район</t>
  </si>
  <si>
    <t>Кизирикский район</t>
  </si>
  <si>
    <t>Сариасийский  район</t>
  </si>
  <si>
    <t>Термезский район</t>
  </si>
  <si>
    <t>Узунский район</t>
  </si>
  <si>
    <t>Шерабадский район</t>
  </si>
  <si>
    <t>Шурчинский район</t>
  </si>
  <si>
    <t>Сырдарьинская область</t>
  </si>
  <si>
    <t>Город Гулистан</t>
  </si>
  <si>
    <t>Город Ширин</t>
  </si>
  <si>
    <t>Город Янгиер</t>
  </si>
  <si>
    <t>Акалтынский район</t>
  </si>
  <si>
    <t>Баяутский район</t>
  </si>
  <si>
    <t>Сайхунабадский район</t>
  </si>
  <si>
    <t>Гулистанский район</t>
  </si>
  <si>
    <t>Сардобский район</t>
  </si>
  <si>
    <t>Мирзаабадский район</t>
  </si>
  <si>
    <t>Сырдарьинский район</t>
  </si>
  <si>
    <t>Хавасский район</t>
  </si>
  <si>
    <t>Ташкентская область</t>
  </si>
  <si>
    <t>Город Нурафшон</t>
  </si>
  <si>
    <t>Город Алмалык</t>
  </si>
  <si>
    <t>Город Ангрен</t>
  </si>
  <si>
    <t>Город Бекабад</t>
  </si>
  <si>
    <t>Город Чиpчик</t>
  </si>
  <si>
    <t>Город Ахангаран</t>
  </si>
  <si>
    <t>Город Янгиюль</t>
  </si>
  <si>
    <t>Аккурганский район</t>
  </si>
  <si>
    <t>Ахангаранский район</t>
  </si>
  <si>
    <t>Бекабадский район</t>
  </si>
  <si>
    <t>Бостанлыкский район</t>
  </si>
  <si>
    <t>Букинский район</t>
  </si>
  <si>
    <t>Куйичирчикский район</t>
  </si>
  <si>
    <t>Зангиатинский район</t>
  </si>
  <si>
    <t>Юкоричирчикский район</t>
  </si>
  <si>
    <t>Кибрайский район</t>
  </si>
  <si>
    <t>Паркентский район</t>
  </si>
  <si>
    <t>Пскентский район</t>
  </si>
  <si>
    <t>Уртачирчикский район</t>
  </si>
  <si>
    <t>Чиназский район</t>
  </si>
  <si>
    <t>Янгиюльский район</t>
  </si>
  <si>
    <t>Ташкентский район</t>
  </si>
  <si>
    <t>Ферганская область</t>
  </si>
  <si>
    <t>Город Фергана</t>
  </si>
  <si>
    <t>Город Коканд</t>
  </si>
  <si>
    <t>Город Кувасай</t>
  </si>
  <si>
    <t>Город Маpгилан</t>
  </si>
  <si>
    <t>Алтыарыкский район</t>
  </si>
  <si>
    <t>Куштепинский район</t>
  </si>
  <si>
    <t>Багдадский район</t>
  </si>
  <si>
    <t>Бувайдинский район</t>
  </si>
  <si>
    <t>Бешарыкский район</t>
  </si>
  <si>
    <t>Кувинский район</t>
  </si>
  <si>
    <t>Учкуприкский район</t>
  </si>
  <si>
    <t>Риштанский район</t>
  </si>
  <si>
    <t>Сохский район</t>
  </si>
  <si>
    <t>Ташлакский район</t>
  </si>
  <si>
    <t>Узбекистанский район</t>
  </si>
  <si>
    <t>Ферганский район</t>
  </si>
  <si>
    <t>Дангаринский район</t>
  </si>
  <si>
    <t>Фуркатский район</t>
  </si>
  <si>
    <t>Язъяванский район</t>
  </si>
  <si>
    <t>Хорезмская область</t>
  </si>
  <si>
    <t>Город Ургенч</t>
  </si>
  <si>
    <t>Город Хива</t>
  </si>
  <si>
    <t>Багатский район</t>
  </si>
  <si>
    <t>Гурленский район</t>
  </si>
  <si>
    <t>Кошкупырский район</t>
  </si>
  <si>
    <t>Ургенчский район</t>
  </si>
  <si>
    <t>Хазараспский район</t>
  </si>
  <si>
    <t>Тупроккалинский район</t>
  </si>
  <si>
    <t>Ханкинский район</t>
  </si>
  <si>
    <t>Хивинский район</t>
  </si>
  <si>
    <t>Шаватский район</t>
  </si>
  <si>
    <t>Янгиарыкский район</t>
  </si>
  <si>
    <t>Янгибазарский район</t>
  </si>
  <si>
    <t>город Ташкент</t>
  </si>
  <si>
    <t>Учтепинский район</t>
  </si>
  <si>
    <t>Бектемирский район</t>
  </si>
  <si>
    <t>Юнусабадский район</t>
  </si>
  <si>
    <t>Мирзо Улугбекский район</t>
  </si>
  <si>
    <t>Мирабадский район</t>
  </si>
  <si>
    <t>Шайхантахурский район</t>
  </si>
  <si>
    <t>Алмазарский район</t>
  </si>
  <si>
    <t>Сергелийский район</t>
  </si>
  <si>
    <t>Яккасарайский район</t>
  </si>
  <si>
    <t>Яшнободский район</t>
  </si>
  <si>
    <t>Янгихаётский район</t>
  </si>
  <si>
    <t>Чиланзарский район</t>
  </si>
  <si>
    <t>Republic of Uzbekistan</t>
  </si>
  <si>
    <t>Republic of Karakalpakstan</t>
  </si>
  <si>
    <t>Nukus city</t>
  </si>
  <si>
    <t>Amudarya district</t>
  </si>
  <si>
    <t>Beruniy  district</t>
  </si>
  <si>
    <t>Bozatau district</t>
  </si>
  <si>
    <t>Karauzak district</t>
  </si>
  <si>
    <t>Kegeyli district</t>
  </si>
  <si>
    <t>Kungrad district</t>
  </si>
  <si>
    <t>Kanlykul district</t>
  </si>
  <si>
    <t>Muynak district</t>
  </si>
  <si>
    <t>Nukus district</t>
  </si>
  <si>
    <t>Takhiatash district</t>
  </si>
  <si>
    <t>Takhtakupyr district</t>
  </si>
  <si>
    <t>Turtkul district</t>
  </si>
  <si>
    <t>Khojeyli district</t>
  </si>
  <si>
    <t>Chimbay district</t>
  </si>
  <si>
    <t>Shumanai district</t>
  </si>
  <si>
    <t>Ellikkala district</t>
  </si>
  <si>
    <t>Andijan region</t>
  </si>
  <si>
    <t>Andijan city</t>
  </si>
  <si>
    <t>Khanabadcity</t>
  </si>
  <si>
    <t>Altynkul  district</t>
  </si>
  <si>
    <t>Andijan district</t>
  </si>
  <si>
    <t>Balykchi district</t>
  </si>
  <si>
    <t>Bustan district</t>
  </si>
  <si>
    <t>Bulakbashi district</t>
  </si>
  <si>
    <t>Jalаquduk district</t>
  </si>
  <si>
    <t>Izbaskan district</t>
  </si>
  <si>
    <t>Ulugnor district</t>
  </si>
  <si>
    <t>Kurgantepa district</t>
  </si>
  <si>
    <t>Asaka district</t>
  </si>
  <si>
    <t>Markhamat district</t>
  </si>
  <si>
    <t>Shakhrikhan district</t>
  </si>
  <si>
    <t>Pakhtaabad district</t>
  </si>
  <si>
    <t>Khojaabad district</t>
  </si>
  <si>
    <t>Bukhara region</t>
  </si>
  <si>
    <t>Bukhara city</t>
  </si>
  <si>
    <t>Kagan city</t>
  </si>
  <si>
    <t>Alat district</t>
  </si>
  <si>
    <t>Bukhara district</t>
  </si>
  <si>
    <t>Vobkent district</t>
  </si>
  <si>
    <t>Gijduvan district</t>
  </si>
  <si>
    <t>Kagan district</t>
  </si>
  <si>
    <t>Karakul district</t>
  </si>
  <si>
    <t>Qorovulbozor district</t>
  </si>
  <si>
    <t>Peshkun district</t>
  </si>
  <si>
    <t>Romitan district</t>
  </si>
  <si>
    <t>Jondor  district</t>
  </si>
  <si>
    <t>Shafirkan district</t>
  </si>
  <si>
    <t>Jizzakh region</t>
  </si>
  <si>
    <t>Jizzakh city</t>
  </si>
  <si>
    <t>Arnasay district</t>
  </si>
  <si>
    <t>Bakhmal district</t>
  </si>
  <si>
    <t>Gallaaral district</t>
  </si>
  <si>
    <t>Sharof Rashidov  district</t>
  </si>
  <si>
    <t>Dustlik district</t>
  </si>
  <si>
    <t>Zomin district</t>
  </si>
  <si>
    <t>Zarbdar district</t>
  </si>
  <si>
    <t>Mirzachul district</t>
  </si>
  <si>
    <t>Zafarabad district</t>
  </si>
  <si>
    <t>Pakhtakor district</t>
  </si>
  <si>
    <t>Farish district</t>
  </si>
  <si>
    <t>Yangiabad district</t>
  </si>
  <si>
    <t>Kashkadarya region</t>
  </si>
  <si>
    <t>Karshi city</t>
  </si>
  <si>
    <t>Shakhrisabz city</t>
  </si>
  <si>
    <t>Kukdala district</t>
  </si>
  <si>
    <t>Gissar district</t>
  </si>
  <si>
    <t>Dehkanabad district</t>
  </si>
  <si>
    <t>Kamashi district</t>
  </si>
  <si>
    <t>Karshi district</t>
  </si>
  <si>
    <t>Kasan district</t>
  </si>
  <si>
    <t>Kitab district</t>
  </si>
  <si>
    <t>Mirishkor district</t>
  </si>
  <si>
    <t>Mubarek district</t>
  </si>
  <si>
    <t>Nishon district</t>
  </si>
  <si>
    <t>Kasbi district</t>
  </si>
  <si>
    <t>Chirakchi district</t>
  </si>
  <si>
    <t>Shakhrisabz district</t>
  </si>
  <si>
    <t>Yakkabag district</t>
  </si>
  <si>
    <t>Navoi region</t>
  </si>
  <si>
    <t>Navoi city</t>
  </si>
  <si>
    <t>Zarafshan city</t>
  </si>
  <si>
    <t>Gazgan city</t>
  </si>
  <si>
    <t>Kanimekh district</t>
  </si>
  <si>
    <t>Kyzyltepa district</t>
  </si>
  <si>
    <t>Navbahor district</t>
  </si>
  <si>
    <t>Karmana district</t>
  </si>
  <si>
    <t>Nurota district</t>
  </si>
  <si>
    <t>Tomdy district</t>
  </si>
  <si>
    <t>Uchkuduk district</t>
  </si>
  <si>
    <t>Khatyrchi district</t>
  </si>
  <si>
    <t>Namangan region</t>
  </si>
  <si>
    <t>Namangan city</t>
  </si>
  <si>
    <t>Mingbulak district</t>
  </si>
  <si>
    <t>Kasansay district</t>
  </si>
  <si>
    <t>Namangan district</t>
  </si>
  <si>
    <t>Naryn district</t>
  </si>
  <si>
    <t>Pop district</t>
  </si>
  <si>
    <t>Turakurgan district</t>
  </si>
  <si>
    <t>Uychi district</t>
  </si>
  <si>
    <t>Uchkurgan district</t>
  </si>
  <si>
    <t>Chartak district</t>
  </si>
  <si>
    <t>Chust district</t>
  </si>
  <si>
    <t>Yangikurgan district</t>
  </si>
  <si>
    <t>Samarkand region</t>
  </si>
  <si>
    <t>Samarkand city</t>
  </si>
  <si>
    <t>Kattaqo'rg'on city</t>
  </si>
  <si>
    <t>Akdarya district</t>
  </si>
  <si>
    <t>Bulungur district</t>
  </si>
  <si>
    <t>Jomboy district</t>
  </si>
  <si>
    <t>Ishtykhan district</t>
  </si>
  <si>
    <t>Kattakurgan district</t>
  </si>
  <si>
    <t>Koshrabad district</t>
  </si>
  <si>
    <t>Narpai district</t>
  </si>
  <si>
    <t>Payaryk district</t>
  </si>
  <si>
    <t>Pastdargom district</t>
  </si>
  <si>
    <t>Pakhtachi district</t>
  </si>
  <si>
    <t>Samarkand district</t>
  </si>
  <si>
    <t>Nurabad district</t>
  </si>
  <si>
    <t>Urgut district</t>
  </si>
  <si>
    <t>Tailak district</t>
  </si>
  <si>
    <t>Surkhandarya region</t>
  </si>
  <si>
    <t>Termiz  city</t>
  </si>
  <si>
    <t>Altynsay district</t>
  </si>
  <si>
    <t>Angor district</t>
  </si>
  <si>
    <t>Bandykhan district</t>
  </si>
  <si>
    <t>Baysun district</t>
  </si>
  <si>
    <t>Muzrabad district</t>
  </si>
  <si>
    <t>Denau district</t>
  </si>
  <si>
    <t>Jarkurgan district</t>
  </si>
  <si>
    <t>Kumkurgan district</t>
  </si>
  <si>
    <t>Kizirik district</t>
  </si>
  <si>
    <t>Sariosia district</t>
  </si>
  <si>
    <t>Termiz district</t>
  </si>
  <si>
    <t>Uzun district</t>
  </si>
  <si>
    <t>Sherabad district</t>
  </si>
  <si>
    <t>Shurchi district</t>
  </si>
  <si>
    <t>Syrdarya region</t>
  </si>
  <si>
    <t>Gulistan city</t>
  </si>
  <si>
    <t>Shirin city</t>
  </si>
  <si>
    <t>Yangier city</t>
  </si>
  <si>
    <t>Akaltyn  district</t>
  </si>
  <si>
    <t>Bayaut district</t>
  </si>
  <si>
    <t>Saykhunabad district</t>
  </si>
  <si>
    <t>Gulistan district</t>
  </si>
  <si>
    <t>Sardoba district</t>
  </si>
  <si>
    <t>Mirzaabad district</t>
  </si>
  <si>
    <t>Syrdarya district</t>
  </si>
  <si>
    <t>Khovos district</t>
  </si>
  <si>
    <t>Tashkent region</t>
  </si>
  <si>
    <t>Nurafshan city</t>
  </si>
  <si>
    <t>Almalyk city</t>
  </si>
  <si>
    <t>Angren city</t>
  </si>
  <si>
    <t>Bekabad city</t>
  </si>
  <si>
    <t>Chirchik city</t>
  </si>
  <si>
    <t>Akhangaran city</t>
  </si>
  <si>
    <t>Yangiyul city</t>
  </si>
  <si>
    <t>Akkurgan district</t>
  </si>
  <si>
    <t>Akhangaran district</t>
  </si>
  <si>
    <t>Bekabad district</t>
  </si>
  <si>
    <t>Bostanlyk district</t>
  </si>
  <si>
    <t>Buka district</t>
  </si>
  <si>
    <t>Kuyichirchik district</t>
  </si>
  <si>
    <t>Zangiata district</t>
  </si>
  <si>
    <t>Yukorichirchik district</t>
  </si>
  <si>
    <t>Kibray district</t>
  </si>
  <si>
    <t>Parkent district</t>
  </si>
  <si>
    <t>Piskent district</t>
  </si>
  <si>
    <t>Urtachirchik district</t>
  </si>
  <si>
    <t>Chinaz district</t>
  </si>
  <si>
    <t>Yangiyul district</t>
  </si>
  <si>
    <t>Tashkent district</t>
  </si>
  <si>
    <t>Fergana region</t>
  </si>
  <si>
    <t>Fergana city</t>
  </si>
  <si>
    <t>Kokand city</t>
  </si>
  <si>
    <t>Kuvasay city</t>
  </si>
  <si>
    <t>Margilan city</t>
  </si>
  <si>
    <t>Altyaryk district</t>
  </si>
  <si>
    <t>Kushtepa district</t>
  </si>
  <si>
    <t>Baghdad district</t>
  </si>
  <si>
    <t>Buvayda district</t>
  </si>
  <si>
    <t>Besharik district</t>
  </si>
  <si>
    <t>Kuva district</t>
  </si>
  <si>
    <t>Uchkuprik district</t>
  </si>
  <si>
    <t>Rishtan district</t>
  </si>
  <si>
    <t>Sokh district</t>
  </si>
  <si>
    <t>Tashlak district</t>
  </si>
  <si>
    <t>Uzbekistan district</t>
  </si>
  <si>
    <t>Fergana district</t>
  </si>
  <si>
    <t>Dangara district</t>
  </si>
  <si>
    <t>Furkat district</t>
  </si>
  <si>
    <t>Yazyavan district</t>
  </si>
  <si>
    <t>Khorezm region</t>
  </si>
  <si>
    <t>Urgench city</t>
  </si>
  <si>
    <t>Khiva city</t>
  </si>
  <si>
    <t>Bagat district</t>
  </si>
  <si>
    <t>Gurlan district</t>
  </si>
  <si>
    <t>Kushkupyr district</t>
  </si>
  <si>
    <t>Urgench district</t>
  </si>
  <si>
    <t>Khazarasp district</t>
  </si>
  <si>
    <t>Tuprakkala district</t>
  </si>
  <si>
    <t>Khanka district</t>
  </si>
  <si>
    <t>Khiva district</t>
  </si>
  <si>
    <t>Shavat district</t>
  </si>
  <si>
    <t>Yangiaryk district</t>
  </si>
  <si>
    <t>Yangibazar district</t>
  </si>
  <si>
    <t>Tashkent city</t>
  </si>
  <si>
    <t>Uchtepa district</t>
  </si>
  <si>
    <t>Bektemir district</t>
  </si>
  <si>
    <t>Yunusabad district</t>
  </si>
  <si>
    <t>Mirzo Ulugbek district</t>
  </si>
  <si>
    <t>Mirabad district</t>
  </si>
  <si>
    <t>Shaykhantakhur district</t>
  </si>
  <si>
    <t>Almazar district</t>
  </si>
  <si>
    <t>Sergeli district</t>
  </si>
  <si>
    <t>Yakkasaray district</t>
  </si>
  <si>
    <t>Yashnabad district</t>
  </si>
  <si>
    <t>Yangikhayot district</t>
  </si>
  <si>
    <t>Chilanzar district</t>
  </si>
  <si>
    <t>sample_size</t>
  </si>
  <si>
    <t>base_weight</t>
  </si>
  <si>
    <t>Амударё</t>
  </si>
  <si>
    <t>Ангор</t>
  </si>
  <si>
    <t>Ангрен ш.</t>
  </si>
  <si>
    <t>Андижон</t>
  </si>
  <si>
    <t>Андижон ш.</t>
  </si>
  <si>
    <t>Арнасой</t>
  </si>
  <si>
    <t>Асака</t>
  </si>
  <si>
    <t>Балиқчи</t>
  </si>
  <si>
    <t>Бандихон</t>
  </si>
  <si>
    <t>Бахмал</t>
  </si>
  <si>
    <t>Бекобод</t>
  </si>
  <si>
    <t>Бекобод ш.</t>
  </si>
  <si>
    <t>Бектемир</t>
  </si>
  <si>
    <t>Беруний</t>
  </si>
  <si>
    <t>Бешариқ</t>
  </si>
  <si>
    <t>Боғдод</t>
  </si>
  <si>
    <t>Боғот</t>
  </si>
  <si>
    <t>Боёвут</t>
  </si>
  <si>
    <t>Бойсун</t>
  </si>
  <si>
    <t>Бувайда</t>
  </si>
  <si>
    <t>Бўстон</t>
  </si>
  <si>
    <t>Бўзатов</t>
  </si>
  <si>
    <t>Бўка</t>
  </si>
  <si>
    <t>Булоқбоши</t>
  </si>
  <si>
    <t>Булунғур</t>
  </si>
  <si>
    <t>Бўстонлиқ</t>
  </si>
  <si>
    <t>Бухоро тумани</t>
  </si>
  <si>
    <t>Бухоро ш.</t>
  </si>
  <si>
    <t>Вобкент</t>
  </si>
  <si>
    <t>Ғаллаорол</t>
  </si>
  <si>
    <t>Ғиждувон</t>
  </si>
  <si>
    <t>Ғузор</t>
  </si>
  <si>
    <t>Гулистон</t>
  </si>
  <si>
    <t>Гулистон ш.</t>
  </si>
  <si>
    <t>Гурлан</t>
  </si>
  <si>
    <t>Данғара</t>
  </si>
  <si>
    <t>Денов</t>
  </si>
  <si>
    <t>Деҳқонобод</t>
  </si>
  <si>
    <t>Дўстлик</t>
  </si>
  <si>
    <t>Ёзёвон</t>
  </si>
  <si>
    <t>Жалақудуқ</t>
  </si>
  <si>
    <t>Жарқўрғон</t>
  </si>
  <si>
    <t>Шароф Рашидов</t>
  </si>
  <si>
    <t>Жиззах ш.</t>
  </si>
  <si>
    <t>Жомбой</t>
  </si>
  <si>
    <t>Жондоp</t>
  </si>
  <si>
    <t>Зангиота</t>
  </si>
  <si>
    <t>Зарафшон ш.</t>
  </si>
  <si>
    <t>Зарбдор</t>
  </si>
  <si>
    <t>Зафаробод</t>
  </si>
  <si>
    <t>Зомин</t>
  </si>
  <si>
    <t>Избоскан</t>
  </si>
  <si>
    <t>Иштихон</t>
  </si>
  <si>
    <t>Кармана</t>
  </si>
  <si>
    <t>Касби</t>
  </si>
  <si>
    <t>Каттақўрғон</t>
  </si>
  <si>
    <t>Каттақўрғон ш.</t>
  </si>
  <si>
    <t>Кегейли</t>
  </si>
  <si>
    <t>Китоб</t>
  </si>
  <si>
    <t>Когон</t>
  </si>
  <si>
    <t>Когон ш.</t>
  </si>
  <si>
    <t>Конимех</t>
  </si>
  <si>
    <t>Косон</t>
  </si>
  <si>
    <t>Косонсой</t>
  </si>
  <si>
    <t>Қамаши</t>
  </si>
  <si>
    <t>Қонликўл</t>
  </si>
  <si>
    <t>Қарши</t>
  </si>
  <si>
    <t>Қарши ш.</t>
  </si>
  <si>
    <t>Қибрай</t>
  </si>
  <si>
    <t>Қизилтепа</t>
  </si>
  <si>
    <t>Қизириқ</t>
  </si>
  <si>
    <t>Қоракўл</t>
  </si>
  <si>
    <t>Қораўзак</t>
  </si>
  <si>
    <t>Қоровулбозор</t>
  </si>
  <si>
    <t>Қува</t>
  </si>
  <si>
    <t>Қувасой ш.</t>
  </si>
  <si>
    <t>Қуйичирчиқ</t>
  </si>
  <si>
    <t>Қўқон ш.</t>
  </si>
  <si>
    <t>Қумқўрғон</t>
  </si>
  <si>
    <t>Қўнғирот</t>
  </si>
  <si>
    <t>Қўрғонтепа</t>
  </si>
  <si>
    <t>Қўшкўпир</t>
  </si>
  <si>
    <t>Қўшрабод</t>
  </si>
  <si>
    <t>Қўштепа</t>
  </si>
  <si>
    <t>Марғилон ш.</t>
  </si>
  <si>
    <t>Мархамат</t>
  </si>
  <si>
    <t>Мингбулоқ</t>
  </si>
  <si>
    <t>Мирзаобод</t>
  </si>
  <si>
    <t>Мирзачўл</t>
  </si>
  <si>
    <t>Мирзо Улуғбек</t>
  </si>
  <si>
    <t>Миришкор</t>
  </si>
  <si>
    <t>Миробод</t>
  </si>
  <si>
    <t>Муборак</t>
  </si>
  <si>
    <t>Музробод</t>
  </si>
  <si>
    <t>Мўйноқ</t>
  </si>
  <si>
    <t>Навбаҳор</t>
  </si>
  <si>
    <t>Навоий ш.</t>
  </si>
  <si>
    <t>Наманган</t>
  </si>
  <si>
    <t>Наманган ш.</t>
  </si>
  <si>
    <t>Нарпай</t>
  </si>
  <si>
    <t>Нишон</t>
  </si>
  <si>
    <t>Норин</t>
  </si>
  <si>
    <t>Нукус</t>
  </si>
  <si>
    <t>Нукус ш.</t>
  </si>
  <si>
    <t>Нурафшон ш.</t>
  </si>
  <si>
    <t>Нуробод</t>
  </si>
  <si>
    <t>Нурота</t>
  </si>
  <si>
    <t>Оқдарё</t>
  </si>
  <si>
    <t>Оққўрғон</t>
  </si>
  <si>
    <t>Оқолтин</t>
  </si>
  <si>
    <t>Олмазор</t>
  </si>
  <si>
    <t>Олмалиқ ш.</t>
  </si>
  <si>
    <t>Олот</t>
  </si>
  <si>
    <t>Олтиариқ</t>
  </si>
  <si>
    <t>Олтинкўл</t>
  </si>
  <si>
    <t>Олтинсой</t>
  </si>
  <si>
    <t>Оҳангарон</t>
  </si>
  <si>
    <t>Оҳангарон ш.</t>
  </si>
  <si>
    <t>Паркент</t>
  </si>
  <si>
    <t>Пастдарғом</t>
  </si>
  <si>
    <t>Пахтакор</t>
  </si>
  <si>
    <t>Пахтаобод</t>
  </si>
  <si>
    <t>Пахтачи</t>
  </si>
  <si>
    <t>Пешку</t>
  </si>
  <si>
    <t>Пискент</t>
  </si>
  <si>
    <t>Пайариқ</t>
  </si>
  <si>
    <t>Поп</t>
  </si>
  <si>
    <t>Риштон</t>
  </si>
  <si>
    <t>Ромитан</t>
  </si>
  <si>
    <t>Сайхунобод</t>
  </si>
  <si>
    <t>Самарқанд</t>
  </si>
  <si>
    <t>Самарқанд ш.</t>
  </si>
  <si>
    <t>Сардоба</t>
  </si>
  <si>
    <t>Сариосиё</t>
  </si>
  <si>
    <t>Сергели</t>
  </si>
  <si>
    <t>Сирдарё</t>
  </si>
  <si>
    <t>Сўх</t>
  </si>
  <si>
    <t>Тойлоқ</t>
  </si>
  <si>
    <t>Тахиатош</t>
  </si>
  <si>
    <t>Тахтакўпир</t>
  </si>
  <si>
    <t>Термиз</t>
  </si>
  <si>
    <t>Термиз ш.</t>
  </si>
  <si>
    <t>Томди</t>
  </si>
  <si>
    <t>Тошкент</t>
  </si>
  <si>
    <t>Тошлоқ</t>
  </si>
  <si>
    <t>Тупроққальа</t>
  </si>
  <si>
    <t>Тўрақўрғон</t>
  </si>
  <si>
    <t>Тўрткўл</t>
  </si>
  <si>
    <t>Ўзбекистон</t>
  </si>
  <si>
    <t>Узун</t>
  </si>
  <si>
    <t>Уйчи</t>
  </si>
  <si>
    <t>Улуғнор</t>
  </si>
  <si>
    <t>Урганч</t>
  </si>
  <si>
    <t>Урганч ш.</t>
  </si>
  <si>
    <t>Ургут</t>
  </si>
  <si>
    <t>Ўртачирчиқ</t>
  </si>
  <si>
    <t>Учкўприк</t>
  </si>
  <si>
    <t>Учқудуқ</t>
  </si>
  <si>
    <t>Учқўрғон</t>
  </si>
  <si>
    <t>Учтепа</t>
  </si>
  <si>
    <t>Фарғона</t>
  </si>
  <si>
    <t>Фарғона ш.</t>
  </si>
  <si>
    <t>Фориш</t>
  </si>
  <si>
    <t>Фурқат</t>
  </si>
  <si>
    <t>Ховос</t>
  </si>
  <si>
    <t>Хазорасп</t>
  </si>
  <si>
    <t>Хатирчи</t>
  </si>
  <si>
    <t>Хива</t>
  </si>
  <si>
    <t>Хива ш.</t>
  </si>
  <si>
    <t>Хонқа</t>
  </si>
  <si>
    <t>Хонобод ш.</t>
  </si>
  <si>
    <t>Хўжайли</t>
  </si>
  <si>
    <t>Хўжаобод</t>
  </si>
  <si>
    <t>Чилонзор</t>
  </si>
  <si>
    <t>Чимбой</t>
  </si>
  <si>
    <t>Чиноз</t>
  </si>
  <si>
    <t>Чироқчи</t>
  </si>
  <si>
    <t>Чирчиқ ш.</t>
  </si>
  <si>
    <t>Чортоқ</t>
  </si>
  <si>
    <t>Чуст</t>
  </si>
  <si>
    <t>Шайхонтохур</t>
  </si>
  <si>
    <t>Шаҳрисабз</t>
  </si>
  <si>
    <t>Шаҳрисабз ш.</t>
  </si>
  <si>
    <t>Шаҳриҳон</t>
  </si>
  <si>
    <t>Шеробод</t>
  </si>
  <si>
    <t>Ширин ш.</t>
  </si>
  <si>
    <t>Шовот</t>
  </si>
  <si>
    <t>Шофиркон</t>
  </si>
  <si>
    <t>Шуманай</t>
  </si>
  <si>
    <t>Шўрчи</t>
  </si>
  <si>
    <t>Элликқалъа</t>
  </si>
  <si>
    <t>Юқоричирчиқ</t>
  </si>
  <si>
    <t>Юнусобод</t>
  </si>
  <si>
    <t>Яккабоғ</t>
  </si>
  <si>
    <t>Яккасарой</t>
  </si>
  <si>
    <t>Янгиариқ</t>
  </si>
  <si>
    <t>Янгибозор</t>
  </si>
  <si>
    <t>Янгиер ш.</t>
  </si>
  <si>
    <t>Янгийўл</t>
  </si>
  <si>
    <t>Янгийўл ш.</t>
  </si>
  <si>
    <t>Янгиқўрғон</t>
  </si>
  <si>
    <t>Янгиобод</t>
  </si>
  <si>
    <t>Яшнобод</t>
  </si>
  <si>
    <t>Кўкдала</t>
  </si>
  <si>
    <t>Янгиҳаёт</t>
  </si>
  <si>
    <t>Ғозғон ш.</t>
  </si>
  <si>
    <t>population</t>
  </si>
  <si>
    <t>code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</si>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</sst>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" fontId="0" fillId="0" borderId="0" xfId="0" applyNumberFormat="1"/>
    <xf numFmtId="0" fontId="0" fillId="0" borderId="0" xfId="0" applyNumberFormat="1"/>
    <xf numFmtId="0" fontId="2" fillId="0" borderId="2" xfId="0" applyFont="1" applyBorder="1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8C04-7DD0-4D9D-89CB-3F85D8A60312}">
  <dimension ref="A1:E207"/>
  <sheetViews>
    <sheetView tabSelected="1" zoomScale="111" workbookViewId="0">
      <selection activeCell="B2" sqref="B2"/>
    </sheetView>
  </sheetViews>
  <sheetFormatPr defaultColWidth="8.85546875" defaultRowHeight="15" x14ac:dyDescent="0.25"/>
  <cols>
    <col min="1" max="1" width="20.140625" customWidth="1"/>
    <col min="2" max="2" width="26.7109375" customWidth="1"/>
    <col min="3" max="3" width="20.42578125" customWidth="1"/>
    <col min="4" max="4" width="20.28515625" customWidth="1"/>
    <col min="5" max="5" width="12.7109375" customWidth="1"/>
  </cols>
  <sheetData>
    <row r="1" spans="1:5" s="5" customFormat="1" x14ac:dyDescent="0.25">
      <c r="A1" s="6" t="s">
        <v>1098</v>
      </c>
      <c r="B1" s="6" t="s">
        <v>1099</v>
      </c>
      <c r="C1" s="7" t="s">
        <v>889</v>
      </c>
      <c r="D1" s="5" t="s">
        <v>890</v>
      </c>
      <c r="E1" s="5" t="s">
        <v>1097</v>
      </c>
    </row>
    <row r="2" spans="1:5" x14ac:dyDescent="0.25">
      <c r="A2" s="4">
        <v>1735401</v>
      </c>
      <c r="B2" t="s">
        <v>994</v>
      </c>
      <c r="C2" s="3">
        <v>129.89037250464159</v>
      </c>
      <c r="D2">
        <v>2611.4329604211334</v>
      </c>
      <c r="E2">
        <v>339.2</v>
      </c>
    </row>
    <row r="3" spans="1:5" x14ac:dyDescent="0.25">
      <c r="A3" s="4">
        <v>1735204</v>
      </c>
      <c r="B3" t="s">
        <v>891</v>
      </c>
      <c r="C3" s="3">
        <v>102.71157167128008</v>
      </c>
      <c r="D3">
        <v>2065.005885401195</v>
      </c>
      <c r="E3">
        <v>212.1</v>
      </c>
    </row>
    <row r="4" spans="1:5" x14ac:dyDescent="0.25">
      <c r="A4" s="4">
        <v>1735207</v>
      </c>
      <c r="B4" t="s">
        <v>904</v>
      </c>
      <c r="C4" s="3">
        <v>101.00244119961025</v>
      </c>
      <c r="D4">
        <v>2030.6439880464141</v>
      </c>
      <c r="E4">
        <v>205.1</v>
      </c>
    </row>
    <row r="5" spans="1:5" x14ac:dyDescent="0.25">
      <c r="A5" s="4">
        <v>1735209</v>
      </c>
      <c r="B5" t="s">
        <v>912</v>
      </c>
      <c r="C5" s="3">
        <v>50</v>
      </c>
      <c r="D5">
        <v>437.99999999999994</v>
      </c>
      <c r="E5">
        <v>21.9</v>
      </c>
    </row>
    <row r="6" spans="1:5" x14ac:dyDescent="0.25">
      <c r="A6" s="4">
        <v>1735211</v>
      </c>
      <c r="B6" t="s">
        <v>963</v>
      </c>
      <c r="C6" s="3">
        <v>52.017381962413822</v>
      </c>
      <c r="D6">
        <v>1045.8042667219927</v>
      </c>
      <c r="E6">
        <v>54.4</v>
      </c>
    </row>
    <row r="7" spans="1:5" x14ac:dyDescent="0.25">
      <c r="A7" s="4">
        <v>1735212</v>
      </c>
      <c r="B7" t="s">
        <v>948</v>
      </c>
      <c r="C7" s="3">
        <v>60.995787035315196</v>
      </c>
      <c r="D7">
        <v>1226.3142035808551</v>
      </c>
      <c r="E7">
        <v>74.8</v>
      </c>
    </row>
    <row r="8" spans="1:5" x14ac:dyDescent="0.25">
      <c r="A8" s="4">
        <v>1735215</v>
      </c>
      <c r="B8" t="s">
        <v>970</v>
      </c>
      <c r="C8" s="3">
        <v>82.246702460093417</v>
      </c>
      <c r="D8">
        <v>1653.5617347818657</v>
      </c>
      <c r="E8">
        <v>136</v>
      </c>
    </row>
    <row r="9" spans="1:5" x14ac:dyDescent="0.25">
      <c r="A9" s="4">
        <v>1735218</v>
      </c>
      <c r="B9" t="s">
        <v>956</v>
      </c>
      <c r="C9" s="3">
        <v>51.729726032003953</v>
      </c>
      <c r="D9">
        <v>1040.0209729839903</v>
      </c>
      <c r="E9">
        <v>53.8</v>
      </c>
    </row>
    <row r="10" spans="1:5" x14ac:dyDescent="0.25">
      <c r="A10" s="4">
        <v>1735222</v>
      </c>
      <c r="B10" t="s">
        <v>985</v>
      </c>
      <c r="C10" s="3">
        <v>50</v>
      </c>
      <c r="D10">
        <v>672</v>
      </c>
      <c r="E10">
        <v>33.6</v>
      </c>
    </row>
    <row r="11" spans="1:5" x14ac:dyDescent="0.25">
      <c r="A11" s="4">
        <v>1735225</v>
      </c>
      <c r="B11" t="s">
        <v>993</v>
      </c>
      <c r="C11" s="3">
        <v>51.777779666176293</v>
      </c>
      <c r="D11">
        <v>1040.9870864974544</v>
      </c>
      <c r="E11">
        <v>53.9</v>
      </c>
    </row>
    <row r="12" spans="1:5" x14ac:dyDescent="0.25">
      <c r="A12" s="4">
        <v>1735228</v>
      </c>
      <c r="B12" t="s">
        <v>1029</v>
      </c>
      <c r="C12" s="3">
        <v>61.80585953059586</v>
      </c>
      <c r="D12">
        <v>1242.6006301551645</v>
      </c>
      <c r="E12">
        <v>76.8</v>
      </c>
    </row>
    <row r="13" spans="1:5" x14ac:dyDescent="0.25">
      <c r="A13" s="4">
        <v>1735230</v>
      </c>
      <c r="B13" t="s">
        <v>1030</v>
      </c>
      <c r="C13" s="3">
        <v>50</v>
      </c>
      <c r="D13">
        <v>778</v>
      </c>
      <c r="E13">
        <v>38.9</v>
      </c>
    </row>
    <row r="14" spans="1:5" x14ac:dyDescent="0.25">
      <c r="A14" s="4">
        <v>1735233</v>
      </c>
      <c r="B14" t="s">
        <v>1038</v>
      </c>
      <c r="C14" s="3">
        <v>106.67853686632876</v>
      </c>
      <c r="D14">
        <v>2144.7613242642515</v>
      </c>
      <c r="E14">
        <v>228.8</v>
      </c>
    </row>
    <row r="15" spans="1:5" x14ac:dyDescent="0.25">
      <c r="A15" s="4">
        <v>1735236</v>
      </c>
      <c r="B15" t="s">
        <v>1062</v>
      </c>
      <c r="C15" s="3">
        <v>80.00890264974656</v>
      </c>
      <c r="D15">
        <v>1608.5709931981885</v>
      </c>
      <c r="E15">
        <v>128.69999999999999</v>
      </c>
    </row>
    <row r="16" spans="1:5" x14ac:dyDescent="0.25">
      <c r="A16" s="4">
        <v>1735240</v>
      </c>
      <c r="B16" t="s">
        <v>1065</v>
      </c>
      <c r="C16" s="3">
        <v>75.86050334355933</v>
      </c>
      <c r="D16">
        <v>1525.1678396597815</v>
      </c>
      <c r="E16">
        <v>115.7</v>
      </c>
    </row>
    <row r="17" spans="1:5" x14ac:dyDescent="0.25">
      <c r="A17" s="4">
        <v>1735243</v>
      </c>
      <c r="B17" t="s">
        <v>1079</v>
      </c>
      <c r="C17" s="3">
        <v>53.710975149297518</v>
      </c>
      <c r="D17">
        <v>1079.8537885186504</v>
      </c>
      <c r="E17">
        <v>58</v>
      </c>
    </row>
    <row r="18" spans="1:5" x14ac:dyDescent="0.25">
      <c r="A18" s="4">
        <v>1735250</v>
      </c>
      <c r="B18" t="s">
        <v>1081</v>
      </c>
      <c r="C18" s="3">
        <v>92.224666982743997</v>
      </c>
      <c r="D18">
        <v>1854.1677145008887</v>
      </c>
      <c r="E18">
        <v>171</v>
      </c>
    </row>
    <row r="19" spans="1:5" x14ac:dyDescent="0.25">
      <c r="A19" s="4">
        <v>1703401</v>
      </c>
      <c r="B19" t="s">
        <v>895</v>
      </c>
      <c r="C19" s="3">
        <v>154.64335742758792</v>
      </c>
      <c r="D19">
        <v>3109.0892489522912</v>
      </c>
      <c r="E19">
        <v>480.8</v>
      </c>
    </row>
    <row r="20" spans="1:5" x14ac:dyDescent="0.25">
      <c r="A20" s="4">
        <v>1703408</v>
      </c>
      <c r="B20" t="s">
        <v>1061</v>
      </c>
      <c r="C20" s="3">
        <v>50</v>
      </c>
      <c r="D20">
        <v>915.99999999999989</v>
      </c>
      <c r="E20">
        <v>45.8</v>
      </c>
    </row>
    <row r="21" spans="1:5" x14ac:dyDescent="0.25">
      <c r="A21" s="4">
        <v>1703202</v>
      </c>
      <c r="B21" t="s">
        <v>1005</v>
      </c>
      <c r="C21" s="3">
        <v>97.749089983499488</v>
      </c>
      <c r="D21">
        <v>1965.2356869248338</v>
      </c>
      <c r="E21">
        <v>192.1</v>
      </c>
    </row>
    <row r="22" spans="1:5" x14ac:dyDescent="0.25">
      <c r="A22" s="4">
        <v>1703203</v>
      </c>
      <c r="B22" t="s">
        <v>894</v>
      </c>
      <c r="C22" s="3">
        <v>119.29107970313098</v>
      </c>
      <c r="D22">
        <v>2398.3352377394144</v>
      </c>
      <c r="E22">
        <v>286.10000000000002</v>
      </c>
    </row>
    <row r="23" spans="1:5" x14ac:dyDescent="0.25">
      <c r="A23" s="4">
        <v>1703206</v>
      </c>
      <c r="B23" t="s">
        <v>898</v>
      </c>
      <c r="C23" s="3">
        <v>103.60357953402102</v>
      </c>
      <c r="D23">
        <v>2082.9396143512231</v>
      </c>
      <c r="E23">
        <v>215.8</v>
      </c>
    </row>
    <row r="24" spans="1:5" x14ac:dyDescent="0.25">
      <c r="A24" s="4">
        <v>1703209</v>
      </c>
      <c r="B24" t="s">
        <v>911</v>
      </c>
      <c r="C24" s="3">
        <v>62.246905965339117</v>
      </c>
      <c r="D24">
        <v>1251.4678246558469</v>
      </c>
      <c r="E24">
        <v>77.900000000000006</v>
      </c>
    </row>
    <row r="25" spans="1:5" x14ac:dyDescent="0.25">
      <c r="A25" s="4">
        <v>1703210</v>
      </c>
      <c r="B25" t="s">
        <v>914</v>
      </c>
      <c r="C25" s="3">
        <v>87.264305334809947</v>
      </c>
      <c r="D25">
        <v>1754.4401392138057</v>
      </c>
      <c r="E25">
        <v>153.1</v>
      </c>
    </row>
    <row r="26" spans="1:5" x14ac:dyDescent="0.25">
      <c r="A26" s="4">
        <v>1703211</v>
      </c>
      <c r="B26" t="s">
        <v>931</v>
      </c>
      <c r="C26" s="3">
        <v>99.43911043481495</v>
      </c>
      <c r="D26">
        <v>1999.2133792298841</v>
      </c>
      <c r="E26">
        <v>198.8</v>
      </c>
    </row>
    <row r="27" spans="1:5" x14ac:dyDescent="0.25">
      <c r="A27" s="4">
        <v>1703214</v>
      </c>
      <c r="B27" t="s">
        <v>942</v>
      </c>
      <c r="C27" s="3">
        <v>112.68716368052803</v>
      </c>
      <c r="D27">
        <v>2265.5641659753214</v>
      </c>
      <c r="E27">
        <v>255.3</v>
      </c>
    </row>
    <row r="28" spans="1:5" x14ac:dyDescent="0.25">
      <c r="A28" s="4">
        <v>1703217</v>
      </c>
      <c r="B28" t="s">
        <v>1042</v>
      </c>
      <c r="C28" s="3">
        <v>56.332545980430361</v>
      </c>
      <c r="D28">
        <v>1132.5602081284201</v>
      </c>
      <c r="E28">
        <v>63.8</v>
      </c>
    </row>
    <row r="29" spans="1:5" x14ac:dyDescent="0.25">
      <c r="A29" s="4">
        <v>1703220</v>
      </c>
      <c r="B29" t="s">
        <v>971</v>
      </c>
      <c r="C29" s="3">
        <v>107.05088891245714</v>
      </c>
      <c r="D29">
        <v>2152.2474249458487</v>
      </c>
      <c r="E29">
        <v>230.4</v>
      </c>
    </row>
    <row r="30" spans="1:5" x14ac:dyDescent="0.25">
      <c r="A30" s="4">
        <v>1703224</v>
      </c>
      <c r="B30" t="s">
        <v>897</v>
      </c>
      <c r="C30" s="3">
        <v>132.88110074737682</v>
      </c>
      <c r="D30">
        <v>2671.5612529045666</v>
      </c>
      <c r="E30">
        <v>355</v>
      </c>
    </row>
    <row r="31" spans="1:5" x14ac:dyDescent="0.25">
      <c r="A31" s="4">
        <v>1703227</v>
      </c>
      <c r="B31" t="s">
        <v>976</v>
      </c>
      <c r="C31" s="3">
        <v>96.287961964444676</v>
      </c>
      <c r="D31">
        <v>1935.8598540992084</v>
      </c>
      <c r="E31">
        <v>186.4</v>
      </c>
    </row>
    <row r="32" spans="1:5" x14ac:dyDescent="0.25">
      <c r="A32" s="4">
        <v>1703230</v>
      </c>
      <c r="B32" t="s">
        <v>1074</v>
      </c>
      <c r="C32" s="3">
        <v>127.02507595385921</v>
      </c>
      <c r="D32">
        <v>2553.8264595711444</v>
      </c>
      <c r="E32">
        <v>324.39999999999998</v>
      </c>
    </row>
    <row r="33" spans="1:5" x14ac:dyDescent="0.25">
      <c r="A33" s="4">
        <v>1703232</v>
      </c>
      <c r="B33" t="s">
        <v>1012</v>
      </c>
      <c r="C33" s="3">
        <v>101.88500357533255</v>
      </c>
      <c r="D33">
        <v>2048.3878164237362</v>
      </c>
      <c r="E33">
        <v>208.7</v>
      </c>
    </row>
    <row r="34" spans="1:5" x14ac:dyDescent="0.25">
      <c r="A34" s="4">
        <v>1703236</v>
      </c>
      <c r="B34" t="s">
        <v>1063</v>
      </c>
      <c r="C34" s="3">
        <v>77.257324413244817</v>
      </c>
      <c r="D34">
        <v>1553.2507876939558</v>
      </c>
      <c r="E34">
        <v>120</v>
      </c>
    </row>
    <row r="35" spans="1:5" x14ac:dyDescent="0.25">
      <c r="A35" s="4">
        <v>1706401</v>
      </c>
      <c r="B35" t="s">
        <v>918</v>
      </c>
      <c r="C35" s="3">
        <v>121.0296256667072</v>
      </c>
      <c r="D35">
        <v>2433.2885306197468</v>
      </c>
      <c r="E35">
        <v>294.5</v>
      </c>
    </row>
    <row r="36" spans="1:5" x14ac:dyDescent="0.25">
      <c r="A36" s="4">
        <v>1706403</v>
      </c>
      <c r="B36" t="s">
        <v>951</v>
      </c>
      <c r="C36" s="3">
        <v>56.728484405574427</v>
      </c>
      <c r="D36">
        <v>1140.5205106033513</v>
      </c>
      <c r="E36">
        <v>64.7</v>
      </c>
    </row>
    <row r="37" spans="1:5" x14ac:dyDescent="0.25">
      <c r="A37" s="4">
        <v>1706204</v>
      </c>
      <c r="B37" t="s">
        <v>1003</v>
      </c>
      <c r="C37" s="3">
        <v>72.026314780546059</v>
      </c>
      <c r="D37">
        <v>1448.0818617166137</v>
      </c>
      <c r="E37">
        <v>104.3</v>
      </c>
    </row>
    <row r="38" spans="1:5" x14ac:dyDescent="0.25">
      <c r="A38" s="4">
        <v>1706207</v>
      </c>
      <c r="B38" t="s">
        <v>917</v>
      </c>
      <c r="C38" s="3">
        <v>94.199037544093073</v>
      </c>
      <c r="D38">
        <v>1893.862237355597</v>
      </c>
      <c r="E38">
        <v>178.4</v>
      </c>
    </row>
    <row r="39" spans="1:5" x14ac:dyDescent="0.25">
      <c r="A39" s="4">
        <v>1706212</v>
      </c>
      <c r="B39" t="s">
        <v>919</v>
      </c>
      <c r="C39" s="3">
        <v>86.001202699723038</v>
      </c>
      <c r="D39">
        <v>1729.0455869459472</v>
      </c>
      <c r="E39">
        <v>148.69999999999999</v>
      </c>
    </row>
    <row r="40" spans="1:5" x14ac:dyDescent="0.25">
      <c r="A40" s="4">
        <v>1706215</v>
      </c>
      <c r="B40" t="s">
        <v>921</v>
      </c>
      <c r="C40" s="3">
        <v>126.65253884797727</v>
      </c>
      <c r="D40">
        <v>2546.3366382816935</v>
      </c>
      <c r="E40">
        <v>322.5</v>
      </c>
    </row>
    <row r="41" spans="1:5" x14ac:dyDescent="0.25">
      <c r="A41" s="4">
        <v>1706219</v>
      </c>
      <c r="B41" t="s">
        <v>950</v>
      </c>
      <c r="C41" s="3">
        <v>64.868554737428951</v>
      </c>
      <c r="D41">
        <v>1304.1758112607688</v>
      </c>
      <c r="E41">
        <v>84.6</v>
      </c>
    </row>
    <row r="42" spans="1:5" x14ac:dyDescent="0.25">
      <c r="A42" s="4">
        <v>1706230</v>
      </c>
      <c r="B42" t="s">
        <v>962</v>
      </c>
      <c r="C42" s="3">
        <v>92.440145470360008</v>
      </c>
      <c r="D42">
        <v>1858.4998879635682</v>
      </c>
      <c r="E42">
        <v>171.8</v>
      </c>
    </row>
    <row r="43" spans="1:5" x14ac:dyDescent="0.25">
      <c r="A43" s="4">
        <v>1706232</v>
      </c>
      <c r="B43" t="s">
        <v>964</v>
      </c>
      <c r="C43" s="3">
        <v>50</v>
      </c>
      <c r="D43">
        <v>397.99999999999994</v>
      </c>
      <c r="E43">
        <v>19.899999999999999</v>
      </c>
    </row>
    <row r="44" spans="1:5" x14ac:dyDescent="0.25">
      <c r="A44" s="4">
        <v>1706240</v>
      </c>
      <c r="B44" t="s">
        <v>1014</v>
      </c>
      <c r="C44" s="3">
        <v>80.782252373522013</v>
      </c>
      <c r="D44">
        <v>1624.1191121207632</v>
      </c>
      <c r="E44">
        <v>131.19999999999999</v>
      </c>
    </row>
    <row r="45" spans="1:5" x14ac:dyDescent="0.25">
      <c r="A45" s="4">
        <v>1706242</v>
      </c>
      <c r="B45" t="s">
        <v>1019</v>
      </c>
      <c r="C45" s="3">
        <v>86.77846786356308</v>
      </c>
      <c r="D45">
        <v>1744.6724253997863</v>
      </c>
      <c r="E45">
        <v>151.4</v>
      </c>
    </row>
    <row r="46" spans="1:5" x14ac:dyDescent="0.25">
      <c r="A46" s="4">
        <v>1706246</v>
      </c>
      <c r="B46" t="s">
        <v>936</v>
      </c>
      <c r="C46" s="3">
        <v>96.055225849248544</v>
      </c>
      <c r="D46">
        <v>1931.180717758431</v>
      </c>
      <c r="E46">
        <v>185.5</v>
      </c>
    </row>
    <row r="47" spans="1:5" x14ac:dyDescent="0.25">
      <c r="A47" s="4">
        <v>1706258</v>
      </c>
      <c r="B47" t="s">
        <v>1078</v>
      </c>
      <c r="C47" s="3">
        <v>96.313786817252989</v>
      </c>
      <c r="D47">
        <v>1936.3790601844728</v>
      </c>
      <c r="E47">
        <v>186.5</v>
      </c>
    </row>
    <row r="48" spans="1:5" x14ac:dyDescent="0.25">
      <c r="A48" s="4">
        <v>1708401</v>
      </c>
      <c r="B48" t="s">
        <v>934</v>
      </c>
      <c r="C48" s="3">
        <v>98.685963184639334</v>
      </c>
      <c r="D48">
        <v>1984.0714290203805</v>
      </c>
      <c r="E48">
        <v>195.8</v>
      </c>
    </row>
    <row r="49" spans="1:5" x14ac:dyDescent="0.25">
      <c r="A49" s="4">
        <v>1708201</v>
      </c>
      <c r="B49" t="s">
        <v>896</v>
      </c>
      <c r="C49" s="3">
        <v>49.216816769146298</v>
      </c>
      <c r="D49">
        <v>989.4991833468132</v>
      </c>
      <c r="E49">
        <v>48.7</v>
      </c>
    </row>
    <row r="50" spans="1:5" x14ac:dyDescent="0.25">
      <c r="A50" s="4">
        <v>1708204</v>
      </c>
      <c r="B50" t="s">
        <v>900</v>
      </c>
      <c r="C50" s="3">
        <v>92.116738722266916</v>
      </c>
      <c r="D50">
        <v>1851.9978276083032</v>
      </c>
      <c r="E50">
        <v>170.6</v>
      </c>
    </row>
    <row r="51" spans="1:5" x14ac:dyDescent="0.25">
      <c r="A51" s="4">
        <v>1708209</v>
      </c>
      <c r="B51" t="s">
        <v>920</v>
      </c>
      <c r="C51" s="3">
        <v>96.417017057835281</v>
      </c>
      <c r="D51">
        <v>1938.4544938565041</v>
      </c>
      <c r="E51">
        <v>186.9</v>
      </c>
    </row>
    <row r="52" spans="1:5" x14ac:dyDescent="0.25">
      <c r="A52" s="4">
        <v>1708212</v>
      </c>
      <c r="B52" t="s">
        <v>933</v>
      </c>
      <c r="C52" s="3">
        <v>109.96171887155526</v>
      </c>
      <c r="D52">
        <v>2210.7693704202793</v>
      </c>
      <c r="E52">
        <v>243.1</v>
      </c>
    </row>
    <row r="53" spans="1:5" x14ac:dyDescent="0.25">
      <c r="A53" s="4">
        <v>1708215</v>
      </c>
      <c r="B53" t="s">
        <v>929</v>
      </c>
      <c r="C53" s="3">
        <v>59.006256185575694</v>
      </c>
      <c r="D53">
        <v>1186.3148846428892</v>
      </c>
      <c r="E53">
        <v>70</v>
      </c>
    </row>
    <row r="54" spans="1:5" x14ac:dyDescent="0.25">
      <c r="A54" s="4">
        <v>1708218</v>
      </c>
      <c r="B54" t="s">
        <v>941</v>
      </c>
      <c r="C54" s="3">
        <v>94.489003085943693</v>
      </c>
      <c r="D54">
        <v>1899.6919656008376</v>
      </c>
      <c r="E54">
        <v>179.5</v>
      </c>
    </row>
    <row r="55" spans="1:5" x14ac:dyDescent="0.25">
      <c r="A55" s="4">
        <v>1708220</v>
      </c>
      <c r="B55" t="s">
        <v>939</v>
      </c>
      <c r="C55" s="3">
        <v>68.595339309707683</v>
      </c>
      <c r="D55">
        <v>1379.10244270214</v>
      </c>
      <c r="E55">
        <v>94.6</v>
      </c>
    </row>
    <row r="56" spans="1:5" x14ac:dyDescent="0.25">
      <c r="A56" s="4">
        <v>1708223</v>
      </c>
      <c r="B56" t="s">
        <v>979</v>
      </c>
      <c r="C56" s="3">
        <v>52.493305709897584</v>
      </c>
      <c r="D56">
        <v>1055.3726661103449</v>
      </c>
      <c r="E56">
        <v>55.4</v>
      </c>
    </row>
    <row r="57" spans="1:5" x14ac:dyDescent="0.25">
      <c r="A57" s="4">
        <v>1708225</v>
      </c>
      <c r="B57" t="s">
        <v>940</v>
      </c>
      <c r="C57" s="3">
        <v>51.681627717529139</v>
      </c>
      <c r="D57">
        <v>1039.0539611775091</v>
      </c>
      <c r="E57">
        <v>53.7</v>
      </c>
    </row>
    <row r="58" spans="1:5" x14ac:dyDescent="0.25">
      <c r="A58" s="4">
        <v>1708228</v>
      </c>
      <c r="B58" t="s">
        <v>1011</v>
      </c>
      <c r="C58" s="3">
        <v>63.43417577808593</v>
      </c>
      <c r="D58">
        <v>1275.3377656078546</v>
      </c>
      <c r="E58">
        <v>80.900000000000006</v>
      </c>
    </row>
    <row r="59" spans="1:5" x14ac:dyDescent="0.25">
      <c r="A59" s="4">
        <v>1708235</v>
      </c>
      <c r="B59" t="s">
        <v>1053</v>
      </c>
      <c r="C59" s="3">
        <v>69.95948273039582</v>
      </c>
      <c r="D59">
        <v>1406.5284098684083</v>
      </c>
      <c r="E59">
        <v>98.4</v>
      </c>
    </row>
    <row r="60" spans="1:5" x14ac:dyDescent="0.25">
      <c r="A60" s="4">
        <v>1708237</v>
      </c>
      <c r="B60" t="s">
        <v>1092</v>
      </c>
      <c r="C60" s="3">
        <v>50</v>
      </c>
      <c r="D60">
        <v>596</v>
      </c>
      <c r="E60">
        <v>29.8</v>
      </c>
    </row>
    <row r="61" spans="1:5" x14ac:dyDescent="0.25">
      <c r="A61" s="4">
        <v>1710401</v>
      </c>
      <c r="B61" t="s">
        <v>958</v>
      </c>
      <c r="C61" s="3">
        <v>121.25544655381587</v>
      </c>
      <c r="D61">
        <v>2437.8286369908024</v>
      </c>
      <c r="E61">
        <v>295.60000000000002</v>
      </c>
    </row>
    <row r="62" spans="1:5" x14ac:dyDescent="0.25">
      <c r="A62" s="4">
        <v>1710405</v>
      </c>
      <c r="B62" t="s">
        <v>1073</v>
      </c>
      <c r="C62" s="3">
        <v>85.566337940835012</v>
      </c>
      <c r="D62">
        <v>1720.3026744206545</v>
      </c>
      <c r="E62">
        <v>147.19999999999999</v>
      </c>
    </row>
    <row r="63" spans="1:5" x14ac:dyDescent="0.25">
      <c r="A63" s="4">
        <v>1710240</v>
      </c>
      <c r="B63" t="s">
        <v>1094</v>
      </c>
      <c r="C63" s="3">
        <v>96.880191943262062</v>
      </c>
      <c r="D63">
        <v>1947.7665786470805</v>
      </c>
      <c r="E63">
        <v>188.7</v>
      </c>
    </row>
    <row r="64" spans="1:5" x14ac:dyDescent="0.25">
      <c r="A64" s="4">
        <v>1710207</v>
      </c>
      <c r="B64" t="s">
        <v>922</v>
      </c>
      <c r="C64" s="3">
        <v>105.12864523187069</v>
      </c>
      <c r="D64">
        <v>2113.6009078202983</v>
      </c>
      <c r="E64">
        <v>222.2</v>
      </c>
    </row>
    <row r="65" spans="1:5" x14ac:dyDescent="0.25">
      <c r="A65" s="4">
        <v>1710212</v>
      </c>
      <c r="B65" t="s">
        <v>928</v>
      </c>
      <c r="C65" s="3">
        <v>89.069575847161488</v>
      </c>
      <c r="D65">
        <v>1790.7349224800762</v>
      </c>
      <c r="E65">
        <v>159.5</v>
      </c>
    </row>
    <row r="66" spans="1:5" x14ac:dyDescent="0.25">
      <c r="A66" s="4">
        <v>1710220</v>
      </c>
      <c r="B66" t="s">
        <v>955</v>
      </c>
      <c r="C66" s="3">
        <v>120.74160643143077</v>
      </c>
      <c r="D66">
        <v>2427.4979326737025</v>
      </c>
      <c r="E66">
        <v>293.10000000000002</v>
      </c>
    </row>
    <row r="67" spans="1:5" x14ac:dyDescent="0.25">
      <c r="A67" s="4">
        <v>1710224</v>
      </c>
      <c r="B67" t="s">
        <v>957</v>
      </c>
      <c r="C67" s="3">
        <v>116.33578143860636</v>
      </c>
      <c r="D67">
        <v>2338.919261427704</v>
      </c>
      <c r="E67">
        <v>272.10000000000002</v>
      </c>
    </row>
    <row r="68" spans="1:5" x14ac:dyDescent="0.25">
      <c r="A68" s="4">
        <v>1710229</v>
      </c>
      <c r="B68" t="s">
        <v>953</v>
      </c>
      <c r="C68" s="3">
        <v>124.59365460606585</v>
      </c>
      <c r="D68">
        <v>2504.9429763239755</v>
      </c>
      <c r="E68">
        <v>312.10000000000002</v>
      </c>
    </row>
    <row r="69" spans="1:5" x14ac:dyDescent="0.25">
      <c r="A69" s="4">
        <v>1710232</v>
      </c>
      <c r="B69" t="s">
        <v>949</v>
      </c>
      <c r="C69" s="3">
        <v>118.43323567482814</v>
      </c>
      <c r="D69">
        <v>2381.0883692670773</v>
      </c>
      <c r="E69">
        <v>282</v>
      </c>
    </row>
    <row r="70" spans="1:5" x14ac:dyDescent="0.25">
      <c r="A70" s="4">
        <v>1710233</v>
      </c>
      <c r="B70" t="s">
        <v>981</v>
      </c>
      <c r="C70" s="3">
        <v>80.288166684342869</v>
      </c>
      <c r="D70">
        <v>1614.1855687093862</v>
      </c>
      <c r="E70">
        <v>129.6</v>
      </c>
    </row>
    <row r="71" spans="1:5" x14ac:dyDescent="0.25">
      <c r="A71" s="4">
        <v>1710234</v>
      </c>
      <c r="B71" t="s">
        <v>983</v>
      </c>
      <c r="C71" s="3">
        <v>68.15888521138676</v>
      </c>
      <c r="D71">
        <v>1370.3275766663567</v>
      </c>
      <c r="E71">
        <v>93.4</v>
      </c>
    </row>
    <row r="72" spans="1:5" x14ac:dyDescent="0.25">
      <c r="A72" s="4">
        <v>1710235</v>
      </c>
      <c r="B72" t="s">
        <v>991</v>
      </c>
      <c r="C72" s="3">
        <v>91.030418434224174</v>
      </c>
      <c r="D72">
        <v>1830.1574667634877</v>
      </c>
      <c r="E72">
        <v>166.6</v>
      </c>
    </row>
    <row r="73" spans="1:5" x14ac:dyDescent="0.25">
      <c r="A73" s="4">
        <v>1710237</v>
      </c>
      <c r="B73" t="s">
        <v>945</v>
      </c>
      <c r="C73" s="3">
        <v>102.92925804406006</v>
      </c>
      <c r="D73">
        <v>2069.3824481744819</v>
      </c>
      <c r="E73">
        <v>213</v>
      </c>
    </row>
    <row r="74" spans="1:5" x14ac:dyDescent="0.25">
      <c r="A74" s="4">
        <v>1710242</v>
      </c>
      <c r="B74" t="s">
        <v>1067</v>
      </c>
      <c r="C74" s="3">
        <v>115.43443917128421</v>
      </c>
      <c r="D74">
        <v>2320.7978652062748</v>
      </c>
      <c r="E74">
        <v>267.89999999999998</v>
      </c>
    </row>
    <row r="75" spans="1:5" x14ac:dyDescent="0.25">
      <c r="A75" s="4">
        <v>1710245</v>
      </c>
      <c r="B75" t="s">
        <v>1072</v>
      </c>
      <c r="C75" s="3">
        <v>108.13725848269902</v>
      </c>
      <c r="D75">
        <v>2174.0887766043547</v>
      </c>
      <c r="E75">
        <v>235.1</v>
      </c>
    </row>
    <row r="76" spans="1:5" x14ac:dyDescent="0.25">
      <c r="A76" s="4">
        <v>1710250</v>
      </c>
      <c r="B76" t="s">
        <v>1084</v>
      </c>
      <c r="C76" s="3">
        <v>118.538183179404</v>
      </c>
      <c r="D76">
        <v>2383.1983283601089</v>
      </c>
      <c r="E76">
        <v>282.5</v>
      </c>
    </row>
    <row r="77" spans="1:5" x14ac:dyDescent="0.25">
      <c r="A77" s="4">
        <v>1712401</v>
      </c>
      <c r="B77" t="s">
        <v>987</v>
      </c>
      <c r="C77" s="3">
        <v>89.570752783627142</v>
      </c>
      <c r="D77">
        <v>1800.8110347095846</v>
      </c>
      <c r="E77">
        <v>161.30000000000001</v>
      </c>
    </row>
    <row r="78" spans="1:5" x14ac:dyDescent="0.25">
      <c r="A78" s="4">
        <v>1712408</v>
      </c>
      <c r="B78" t="s">
        <v>938</v>
      </c>
      <c r="C78" s="3">
        <v>66.309411418089354</v>
      </c>
      <c r="D78">
        <v>1333.1440908535087</v>
      </c>
      <c r="E78">
        <v>88.4</v>
      </c>
    </row>
    <row r="79" spans="1:5" x14ac:dyDescent="0.25">
      <c r="A79" s="4">
        <v>1712412</v>
      </c>
      <c r="B79" t="s">
        <v>1096</v>
      </c>
      <c r="C79" s="3">
        <v>50</v>
      </c>
      <c r="D79">
        <v>184</v>
      </c>
      <c r="E79">
        <v>9.1999999999999993</v>
      </c>
    </row>
    <row r="80" spans="1:5" x14ac:dyDescent="0.25">
      <c r="A80" s="4">
        <v>1712211</v>
      </c>
      <c r="B80" t="s">
        <v>952</v>
      </c>
      <c r="C80" s="3">
        <v>50</v>
      </c>
      <c r="D80">
        <v>748</v>
      </c>
      <c r="E80">
        <v>37.4</v>
      </c>
    </row>
    <row r="81" spans="1:5" x14ac:dyDescent="0.25">
      <c r="A81" s="4">
        <v>1712216</v>
      </c>
      <c r="B81" t="s">
        <v>960</v>
      </c>
      <c r="C81" s="3">
        <v>89.709471703328006</v>
      </c>
      <c r="D81">
        <v>1803.5999647292274</v>
      </c>
      <c r="E81">
        <v>161.80000000000001</v>
      </c>
    </row>
    <row r="82" spans="1:5" x14ac:dyDescent="0.25">
      <c r="A82" s="4">
        <v>1712230</v>
      </c>
      <c r="B82" t="s">
        <v>986</v>
      </c>
      <c r="C82" s="3">
        <v>77.514421045355448</v>
      </c>
      <c r="D82">
        <v>1558.4196897931699</v>
      </c>
      <c r="E82">
        <v>120.8</v>
      </c>
    </row>
    <row r="83" spans="1:5" x14ac:dyDescent="0.25">
      <c r="A83" s="4">
        <v>1712234</v>
      </c>
      <c r="B83" t="s">
        <v>944</v>
      </c>
      <c r="C83" s="3">
        <v>83.089046187332357</v>
      </c>
      <c r="D83">
        <v>1670.4969712501197</v>
      </c>
      <c r="E83">
        <v>138.80000000000001</v>
      </c>
    </row>
    <row r="84" spans="1:5" x14ac:dyDescent="0.25">
      <c r="A84" s="4">
        <v>1712238</v>
      </c>
      <c r="B84" t="s">
        <v>997</v>
      </c>
      <c r="C84" s="3">
        <v>66.757958210001988</v>
      </c>
      <c r="D84">
        <v>1342.1620792856379</v>
      </c>
      <c r="E84">
        <v>89.6</v>
      </c>
    </row>
    <row r="85" spans="1:5" x14ac:dyDescent="0.25">
      <c r="A85" s="4">
        <v>1712244</v>
      </c>
      <c r="B85" t="s">
        <v>1033</v>
      </c>
      <c r="C85" s="3">
        <v>50</v>
      </c>
      <c r="D85">
        <v>310</v>
      </c>
      <c r="E85">
        <v>15.5</v>
      </c>
    </row>
    <row r="86" spans="1:5" x14ac:dyDescent="0.25">
      <c r="A86" s="4">
        <v>1712248</v>
      </c>
      <c r="B86" t="s">
        <v>1048</v>
      </c>
      <c r="C86" s="3">
        <v>50</v>
      </c>
      <c r="D86">
        <v>785.99999999999989</v>
      </c>
      <c r="E86">
        <v>39.299999999999997</v>
      </c>
    </row>
    <row r="87" spans="1:5" x14ac:dyDescent="0.25">
      <c r="A87" s="4">
        <v>1712251</v>
      </c>
      <c r="B87" t="s">
        <v>1057</v>
      </c>
      <c r="C87" s="3">
        <v>102.97757030114144</v>
      </c>
      <c r="D87">
        <v>2070.3537612756904</v>
      </c>
      <c r="E87">
        <v>213.2</v>
      </c>
    </row>
    <row r="88" spans="1:5" x14ac:dyDescent="0.25">
      <c r="A88" s="4">
        <v>1714401</v>
      </c>
      <c r="B88" t="s">
        <v>989</v>
      </c>
      <c r="C88" s="3">
        <v>186.12709576234732</v>
      </c>
      <c r="D88">
        <v>3742.0666622838844</v>
      </c>
      <c r="E88">
        <v>696.5</v>
      </c>
    </row>
    <row r="89" spans="1:5" x14ac:dyDescent="0.25">
      <c r="A89" s="4">
        <v>1714204</v>
      </c>
      <c r="B89" t="s">
        <v>977</v>
      </c>
      <c r="C89" s="3">
        <v>82.518393536685721</v>
      </c>
      <c r="D89">
        <v>1659.0240567290916</v>
      </c>
      <c r="E89">
        <v>136.9</v>
      </c>
    </row>
    <row r="90" spans="1:5" x14ac:dyDescent="0.25">
      <c r="A90" s="4">
        <v>1714207</v>
      </c>
      <c r="B90" t="s">
        <v>954</v>
      </c>
      <c r="C90" s="3">
        <v>106.46851657473427</v>
      </c>
      <c r="D90">
        <v>2140.5388872871954</v>
      </c>
      <c r="E90">
        <v>227.9</v>
      </c>
    </row>
    <row r="91" spans="1:5" x14ac:dyDescent="0.25">
      <c r="A91" s="4">
        <v>1714212</v>
      </c>
      <c r="B91" t="s">
        <v>988</v>
      </c>
      <c r="C91" s="3">
        <v>97.901624416961269</v>
      </c>
      <c r="D91">
        <v>1968.3023764681793</v>
      </c>
      <c r="E91">
        <v>192.7</v>
      </c>
    </row>
    <row r="92" spans="1:5" x14ac:dyDescent="0.25">
      <c r="A92" s="4">
        <v>1714216</v>
      </c>
      <c r="B92" t="s">
        <v>992</v>
      </c>
      <c r="C92" s="3">
        <v>93.510090188694434</v>
      </c>
      <c r="D92">
        <v>1880.0110196156627</v>
      </c>
      <c r="E92">
        <v>175.8</v>
      </c>
    </row>
    <row r="93" spans="1:5" x14ac:dyDescent="0.25">
      <c r="A93" s="4">
        <v>1714219</v>
      </c>
      <c r="B93" t="s">
        <v>1017</v>
      </c>
      <c r="C93" s="3">
        <v>108.27515939970503</v>
      </c>
      <c r="D93">
        <v>2176.8612607615528</v>
      </c>
      <c r="E93">
        <v>235.7</v>
      </c>
    </row>
    <row r="94" spans="1:5" x14ac:dyDescent="0.25">
      <c r="A94" s="4">
        <v>1714224</v>
      </c>
      <c r="B94" t="s">
        <v>1037</v>
      </c>
      <c r="C94" s="3">
        <v>110.43564535628018</v>
      </c>
      <c r="D94">
        <v>2220.2976150404334</v>
      </c>
      <c r="E94">
        <v>245.2</v>
      </c>
    </row>
    <row r="95" spans="1:5" x14ac:dyDescent="0.25">
      <c r="A95" s="4">
        <v>1714229</v>
      </c>
      <c r="B95" t="s">
        <v>1041</v>
      </c>
      <c r="C95" s="3">
        <v>107.51451554653198</v>
      </c>
      <c r="D95">
        <v>2161.5685920978544</v>
      </c>
      <c r="E95">
        <v>232.4</v>
      </c>
    </row>
    <row r="96" spans="1:5" x14ac:dyDescent="0.25">
      <c r="A96" s="4">
        <v>1714234</v>
      </c>
      <c r="B96" t="s">
        <v>1049</v>
      </c>
      <c r="C96" s="3">
        <v>96.029331462513241</v>
      </c>
      <c r="D96">
        <v>1930.6601137005123</v>
      </c>
      <c r="E96">
        <v>185.4</v>
      </c>
    </row>
    <row r="97" spans="1:5" x14ac:dyDescent="0.25">
      <c r="A97" s="4">
        <v>1714236</v>
      </c>
      <c r="B97" t="s">
        <v>1069</v>
      </c>
      <c r="C97" s="3">
        <v>103.38731298348951</v>
      </c>
      <c r="D97">
        <v>2078.591596962372</v>
      </c>
      <c r="E97">
        <v>214.9</v>
      </c>
    </row>
    <row r="98" spans="1:5" x14ac:dyDescent="0.25">
      <c r="A98" s="4">
        <v>1714237</v>
      </c>
      <c r="B98" t="s">
        <v>1070</v>
      </c>
      <c r="C98" s="3">
        <v>119.18679514809595</v>
      </c>
      <c r="D98">
        <v>2396.2386071806595</v>
      </c>
      <c r="E98">
        <v>285.60000000000002</v>
      </c>
    </row>
    <row r="99" spans="1:5" x14ac:dyDescent="0.25">
      <c r="A99" s="4">
        <v>1714242</v>
      </c>
      <c r="B99" t="s">
        <v>1091</v>
      </c>
      <c r="C99" s="3">
        <v>108.59624721145886</v>
      </c>
      <c r="D99">
        <v>2183.3166991334274</v>
      </c>
      <c r="E99">
        <v>237.1</v>
      </c>
    </row>
    <row r="100" spans="1:5" x14ac:dyDescent="0.25">
      <c r="A100" s="4">
        <v>1718401</v>
      </c>
      <c r="B100" t="s">
        <v>1022</v>
      </c>
      <c r="C100" s="3">
        <v>170.60871000378594</v>
      </c>
      <c r="D100">
        <v>3430.0710672216792</v>
      </c>
      <c r="E100">
        <v>585.20000000000005</v>
      </c>
    </row>
    <row r="101" spans="1:5" x14ac:dyDescent="0.25">
      <c r="A101" s="4">
        <v>1718406</v>
      </c>
      <c r="B101" t="s">
        <v>947</v>
      </c>
      <c r="C101" s="3">
        <v>68.704019609136864</v>
      </c>
      <c r="D101">
        <v>1381.287449262712</v>
      </c>
      <c r="E101">
        <v>94.9</v>
      </c>
    </row>
    <row r="102" spans="1:5" x14ac:dyDescent="0.25">
      <c r="A102" s="4">
        <v>1718203</v>
      </c>
      <c r="B102" t="s">
        <v>998</v>
      </c>
      <c r="C102" s="3">
        <v>92.816029111151238</v>
      </c>
      <c r="D102">
        <v>1866.0569910029812</v>
      </c>
      <c r="E102">
        <v>173.2</v>
      </c>
    </row>
    <row r="103" spans="1:5" x14ac:dyDescent="0.25">
      <c r="A103" s="4">
        <v>1718206</v>
      </c>
      <c r="B103" t="s">
        <v>915</v>
      </c>
      <c r="C103" s="3">
        <v>100.23623028666073</v>
      </c>
      <c r="D103">
        <v>2015.2393942021765</v>
      </c>
      <c r="E103">
        <v>202</v>
      </c>
    </row>
    <row r="104" spans="1:5" x14ac:dyDescent="0.25">
      <c r="A104" s="4">
        <v>1718209</v>
      </c>
      <c r="B104" t="s">
        <v>935</v>
      </c>
      <c r="C104" s="3">
        <v>97.085338159098924</v>
      </c>
      <c r="D104">
        <v>1951.8910228180514</v>
      </c>
      <c r="E104">
        <v>189.5</v>
      </c>
    </row>
    <row r="105" spans="1:5" x14ac:dyDescent="0.25">
      <c r="A105" s="4">
        <v>1718212</v>
      </c>
      <c r="B105" t="s">
        <v>943</v>
      </c>
      <c r="C105" s="3">
        <v>117.14530588897621</v>
      </c>
      <c r="D105">
        <v>2355.1946696138434</v>
      </c>
      <c r="E105">
        <v>275.89999999999998</v>
      </c>
    </row>
    <row r="106" spans="1:5" x14ac:dyDescent="0.25">
      <c r="A106" s="4">
        <v>1718215</v>
      </c>
      <c r="B106" t="s">
        <v>946</v>
      </c>
      <c r="C106" s="3">
        <v>120.88570182752342</v>
      </c>
      <c r="D106">
        <v>2430.3949562139796</v>
      </c>
      <c r="E106">
        <v>293.8</v>
      </c>
    </row>
    <row r="107" spans="1:5" x14ac:dyDescent="0.25">
      <c r="A107" s="4">
        <v>1718216</v>
      </c>
      <c r="B107" t="s">
        <v>973</v>
      </c>
      <c r="C107" s="3">
        <v>84.011790020930349</v>
      </c>
      <c r="D107">
        <v>1689.0486438230589</v>
      </c>
      <c r="E107">
        <v>141.9</v>
      </c>
    </row>
    <row r="108" spans="1:5" x14ac:dyDescent="0.25">
      <c r="A108" s="4">
        <v>1718218</v>
      </c>
      <c r="B108" t="s">
        <v>990</v>
      </c>
      <c r="C108" s="3">
        <v>106.35165942551112</v>
      </c>
      <c r="D108">
        <v>2138.1894859785552</v>
      </c>
      <c r="E108">
        <v>227.4</v>
      </c>
    </row>
    <row r="109" spans="1:5" x14ac:dyDescent="0.25">
      <c r="A109" s="4">
        <v>1718224</v>
      </c>
      <c r="B109" t="s">
        <v>1016</v>
      </c>
      <c r="C109" s="3">
        <v>116.59202796369105</v>
      </c>
      <c r="D109">
        <v>2344.0710722101062</v>
      </c>
      <c r="E109">
        <v>273.3</v>
      </c>
    </row>
    <row r="110" spans="1:5" x14ac:dyDescent="0.25">
      <c r="A110" s="4">
        <v>1718227</v>
      </c>
      <c r="B110" t="s">
        <v>1010</v>
      </c>
      <c r="C110" s="3">
        <v>138.07608040094547</v>
      </c>
      <c r="D110">
        <v>2776.0057997516515</v>
      </c>
      <c r="E110">
        <v>383.3</v>
      </c>
    </row>
    <row r="111" spans="1:5" x14ac:dyDescent="0.25">
      <c r="A111" s="4">
        <v>1718230</v>
      </c>
      <c r="B111" t="s">
        <v>1013</v>
      </c>
      <c r="C111" s="3">
        <v>87.03601375903915</v>
      </c>
      <c r="D111">
        <v>1749.8503598940713</v>
      </c>
      <c r="E111">
        <v>152.30000000000001</v>
      </c>
    </row>
    <row r="112" spans="1:5" x14ac:dyDescent="0.25">
      <c r="A112" s="4">
        <v>1718233</v>
      </c>
      <c r="B112" t="s">
        <v>1021</v>
      </c>
      <c r="C112" s="3">
        <v>116.4853270829488</v>
      </c>
      <c r="D112">
        <v>2341.9258616644483</v>
      </c>
      <c r="E112">
        <v>272.8</v>
      </c>
    </row>
    <row r="113" spans="1:5" x14ac:dyDescent="0.25">
      <c r="A113" s="4">
        <v>1718235</v>
      </c>
      <c r="B113" t="s">
        <v>996</v>
      </c>
      <c r="C113" s="3">
        <v>89.95862671031837</v>
      </c>
      <c r="D113">
        <v>1808.6092012489348</v>
      </c>
      <c r="E113">
        <v>162.69999999999999</v>
      </c>
    </row>
    <row r="114" spans="1:5" x14ac:dyDescent="0.25">
      <c r="A114" s="4">
        <v>1718236</v>
      </c>
      <c r="B114" t="s">
        <v>1045</v>
      </c>
      <c r="C114" s="3">
        <v>166.77564227967775</v>
      </c>
      <c r="D114">
        <v>3353.0076236327031</v>
      </c>
      <c r="E114">
        <v>559.20000000000005</v>
      </c>
    </row>
    <row r="115" spans="1:5" x14ac:dyDescent="0.25">
      <c r="A115" s="4">
        <v>1718238</v>
      </c>
      <c r="B115" t="s">
        <v>1028</v>
      </c>
      <c r="C115" s="3">
        <v>104.86810295960592</v>
      </c>
      <c r="D115">
        <v>2108.3627314700771</v>
      </c>
      <c r="E115">
        <v>221.1</v>
      </c>
    </row>
    <row r="116" spans="1:5" x14ac:dyDescent="0.25">
      <c r="A116" s="4">
        <v>1722401</v>
      </c>
      <c r="B116" t="s">
        <v>1032</v>
      </c>
      <c r="C116" s="3">
        <v>100.13693731500298</v>
      </c>
      <c r="D116">
        <v>2013.2431189284571</v>
      </c>
      <c r="E116">
        <v>201.6</v>
      </c>
    </row>
    <row r="117" spans="1:5" x14ac:dyDescent="0.25">
      <c r="A117" s="4">
        <v>1722201</v>
      </c>
      <c r="B117" t="s">
        <v>1006</v>
      </c>
      <c r="C117" s="3">
        <v>97.876218519448514</v>
      </c>
      <c r="D117">
        <v>1967.7915934372695</v>
      </c>
      <c r="E117">
        <v>192.6</v>
      </c>
    </row>
    <row r="118" spans="1:5" x14ac:dyDescent="0.25">
      <c r="A118" s="4">
        <v>1722202</v>
      </c>
      <c r="B118" t="s">
        <v>892</v>
      </c>
      <c r="C118" s="3">
        <v>84.572366568319495</v>
      </c>
      <c r="D118">
        <v>1700.3189792949106</v>
      </c>
      <c r="E118">
        <v>143.80000000000001</v>
      </c>
    </row>
    <row r="119" spans="1:5" x14ac:dyDescent="0.25">
      <c r="A119" s="4">
        <v>1722203</v>
      </c>
      <c r="B119" t="s">
        <v>899</v>
      </c>
      <c r="C119" s="3">
        <v>64.252212449971225</v>
      </c>
      <c r="D119">
        <v>1291.784311157011</v>
      </c>
      <c r="E119">
        <v>83</v>
      </c>
    </row>
    <row r="120" spans="1:5" x14ac:dyDescent="0.25">
      <c r="A120" s="4">
        <v>1722204</v>
      </c>
      <c r="B120" t="s">
        <v>909</v>
      </c>
      <c r="C120" s="3">
        <v>78.724164770972749</v>
      </c>
      <c r="D120">
        <v>1582.741466517821</v>
      </c>
      <c r="E120">
        <v>124.6</v>
      </c>
    </row>
    <row r="121" spans="1:5" x14ac:dyDescent="0.25">
      <c r="A121" s="4">
        <v>1722207</v>
      </c>
      <c r="B121" t="s">
        <v>984</v>
      </c>
      <c r="C121" s="3">
        <v>87.406684782295073</v>
      </c>
      <c r="D121">
        <v>1757.302663778788</v>
      </c>
      <c r="E121">
        <v>153.6</v>
      </c>
    </row>
    <row r="122" spans="1:5" x14ac:dyDescent="0.25">
      <c r="A122" s="4">
        <v>1722210</v>
      </c>
      <c r="B122" t="s">
        <v>927</v>
      </c>
      <c r="C122" s="3">
        <v>144.56962833822519</v>
      </c>
      <c r="D122">
        <v>2906.5579321884188</v>
      </c>
      <c r="E122">
        <v>420.2</v>
      </c>
    </row>
    <row r="123" spans="1:5" x14ac:dyDescent="0.25">
      <c r="A123" s="4">
        <v>1722212</v>
      </c>
      <c r="B123" t="s">
        <v>932</v>
      </c>
      <c r="C123" s="3">
        <v>108.89355243530322</v>
      </c>
      <c r="D123">
        <v>2189.2939909517627</v>
      </c>
      <c r="E123">
        <v>238.4</v>
      </c>
    </row>
    <row r="124" spans="1:5" x14ac:dyDescent="0.25">
      <c r="A124" s="4">
        <v>1722214</v>
      </c>
      <c r="B124" t="s">
        <v>969</v>
      </c>
      <c r="C124" s="3">
        <v>112.7312941555624</v>
      </c>
      <c r="D124">
        <v>2266.4514047663233</v>
      </c>
      <c r="E124">
        <v>255.5</v>
      </c>
    </row>
    <row r="125" spans="1:5" x14ac:dyDescent="0.25">
      <c r="A125" s="4">
        <v>1722215</v>
      </c>
      <c r="B125" t="s">
        <v>961</v>
      </c>
      <c r="C125" s="3">
        <v>78.53439149830983</v>
      </c>
      <c r="D125">
        <v>1578.9260938332814</v>
      </c>
      <c r="E125">
        <v>124</v>
      </c>
    </row>
    <row r="126" spans="1:5" x14ac:dyDescent="0.25">
      <c r="A126" s="4">
        <v>1722217</v>
      </c>
      <c r="B126" t="s">
        <v>1024</v>
      </c>
      <c r="C126" s="3">
        <v>106.49187261682168</v>
      </c>
      <c r="D126">
        <v>2141.0084581796027</v>
      </c>
      <c r="E126">
        <v>228</v>
      </c>
    </row>
    <row r="127" spans="1:5" x14ac:dyDescent="0.25">
      <c r="A127" s="4">
        <v>1722220</v>
      </c>
      <c r="B127" t="s">
        <v>1031</v>
      </c>
      <c r="C127" s="3">
        <v>64.906881804133263</v>
      </c>
      <c r="D127">
        <v>1304.9463731071783</v>
      </c>
      <c r="E127">
        <v>84.7</v>
      </c>
    </row>
    <row r="128" spans="1:5" x14ac:dyDescent="0.25">
      <c r="A128" s="4">
        <v>1722221</v>
      </c>
      <c r="B128" t="s">
        <v>1040</v>
      </c>
      <c r="C128" s="3">
        <v>96.648881962737164</v>
      </c>
      <c r="D128">
        <v>1943.1161146013674</v>
      </c>
      <c r="E128">
        <v>187.8</v>
      </c>
    </row>
    <row r="129" spans="1:5" x14ac:dyDescent="0.25">
      <c r="A129" s="4">
        <v>1722223</v>
      </c>
      <c r="B129" t="s">
        <v>1075</v>
      </c>
      <c r="C129" s="3">
        <v>102.3963187893816</v>
      </c>
      <c r="D129">
        <v>2058.6677577110299</v>
      </c>
      <c r="E129">
        <v>210.8</v>
      </c>
    </row>
    <row r="130" spans="1:5" x14ac:dyDescent="0.25">
      <c r="A130" s="4">
        <v>1722226</v>
      </c>
      <c r="B130" t="s">
        <v>1080</v>
      </c>
      <c r="C130" s="3">
        <v>106.60857607388785</v>
      </c>
      <c r="D130">
        <v>2143.354769522783</v>
      </c>
      <c r="E130">
        <v>228.5</v>
      </c>
    </row>
    <row r="131" spans="1:5" x14ac:dyDescent="0.25">
      <c r="A131" s="4">
        <v>1724401</v>
      </c>
      <c r="B131" t="s">
        <v>924</v>
      </c>
      <c r="C131" s="3">
        <v>70.278691153298738</v>
      </c>
      <c r="D131">
        <v>1412.9460633152253</v>
      </c>
      <c r="E131">
        <v>99.3</v>
      </c>
    </row>
    <row r="132" spans="1:5" x14ac:dyDescent="0.25">
      <c r="A132" s="4">
        <v>1724410</v>
      </c>
      <c r="B132" t="s">
        <v>1076</v>
      </c>
      <c r="C132" s="3">
        <v>50</v>
      </c>
      <c r="D132">
        <v>387.99999999999994</v>
      </c>
      <c r="E132">
        <v>19.399999999999999</v>
      </c>
    </row>
    <row r="133" spans="1:5" x14ac:dyDescent="0.25">
      <c r="A133" s="4">
        <v>1724413</v>
      </c>
      <c r="B133" t="s">
        <v>1088</v>
      </c>
      <c r="C133" s="3">
        <v>50</v>
      </c>
      <c r="D133">
        <v>960</v>
      </c>
      <c r="E133">
        <v>48</v>
      </c>
    </row>
    <row r="134" spans="1:5" x14ac:dyDescent="0.25">
      <c r="A134" s="4">
        <v>1724206</v>
      </c>
      <c r="B134" t="s">
        <v>1000</v>
      </c>
      <c r="C134" s="3">
        <v>52.682471388540705</v>
      </c>
      <c r="D134">
        <v>1059.1758231778285</v>
      </c>
      <c r="E134">
        <v>55.8</v>
      </c>
    </row>
    <row r="135" spans="1:5" x14ac:dyDescent="0.25">
      <c r="A135" s="4">
        <v>1724212</v>
      </c>
      <c r="B135" t="s">
        <v>908</v>
      </c>
      <c r="C135" s="3">
        <v>83.118972010808463</v>
      </c>
      <c r="D135">
        <v>1671.0986269408866</v>
      </c>
      <c r="E135">
        <v>138.9</v>
      </c>
    </row>
    <row r="136" spans="1:5" x14ac:dyDescent="0.25">
      <c r="A136" s="4">
        <v>1724216</v>
      </c>
      <c r="B136" t="s">
        <v>1020</v>
      </c>
      <c r="C136" s="3">
        <v>64.174753455626259</v>
      </c>
      <c r="D136">
        <v>1290.2270058154909</v>
      </c>
      <c r="E136">
        <v>82.8</v>
      </c>
    </row>
    <row r="137" spans="1:5" x14ac:dyDescent="0.25">
      <c r="A137" s="4">
        <v>1724220</v>
      </c>
      <c r="B137" t="s">
        <v>923</v>
      </c>
      <c r="C137" s="3">
        <v>62.922442761523961</v>
      </c>
      <c r="D137">
        <v>1265.0494244427855</v>
      </c>
      <c r="E137">
        <v>79.599999999999994</v>
      </c>
    </row>
    <row r="138" spans="1:5" x14ac:dyDescent="0.25">
      <c r="A138" s="4">
        <v>1724226</v>
      </c>
      <c r="B138" t="s">
        <v>1023</v>
      </c>
      <c r="C138" s="3">
        <v>59.132562979094054</v>
      </c>
      <c r="D138">
        <v>1188.8542701058657</v>
      </c>
      <c r="E138">
        <v>70.3</v>
      </c>
    </row>
    <row r="139" spans="1:5" x14ac:dyDescent="0.25">
      <c r="A139" s="4">
        <v>1724228</v>
      </c>
      <c r="B139" t="s">
        <v>978</v>
      </c>
      <c r="C139" s="3">
        <v>63.277160250705464</v>
      </c>
      <c r="D139">
        <v>1272.1809841190293</v>
      </c>
      <c r="E139">
        <v>80.5</v>
      </c>
    </row>
    <row r="140" spans="1:5" x14ac:dyDescent="0.25">
      <c r="A140" s="4">
        <v>1724231</v>
      </c>
      <c r="B140" t="s">
        <v>1026</v>
      </c>
      <c r="C140" s="3">
        <v>82.578647939410814</v>
      </c>
      <c r="D140">
        <v>1660.2354654751955</v>
      </c>
      <c r="E140">
        <v>137.1</v>
      </c>
    </row>
    <row r="141" spans="1:5" x14ac:dyDescent="0.25">
      <c r="A141" s="4">
        <v>1724235</v>
      </c>
      <c r="B141" t="s">
        <v>1055</v>
      </c>
      <c r="C141" s="3">
        <v>71.332403468606643</v>
      </c>
      <c r="D141">
        <v>1434.1308441264309</v>
      </c>
      <c r="E141">
        <v>102.3</v>
      </c>
    </row>
    <row r="142" spans="1:5" x14ac:dyDescent="0.25">
      <c r="A142" s="4">
        <v>1727401</v>
      </c>
      <c r="B142" t="s">
        <v>995</v>
      </c>
      <c r="C142" s="3">
        <v>52.870960260392991</v>
      </c>
      <c r="D142">
        <v>1062.9653731124095</v>
      </c>
      <c r="E142">
        <v>56.2</v>
      </c>
    </row>
    <row r="143" spans="1:5" x14ac:dyDescent="0.25">
      <c r="A143" s="4">
        <v>1727404</v>
      </c>
      <c r="B143" t="s">
        <v>1002</v>
      </c>
      <c r="C143" s="3">
        <v>85.391771955661611</v>
      </c>
      <c r="D143">
        <v>1716.7930427315623</v>
      </c>
      <c r="E143">
        <v>146.6</v>
      </c>
    </row>
    <row r="144" spans="1:5" x14ac:dyDescent="0.25">
      <c r="A144" s="4">
        <v>1727407</v>
      </c>
      <c r="B144" t="s">
        <v>893</v>
      </c>
      <c r="C144" s="3">
        <v>95.249226488984675</v>
      </c>
      <c r="D144">
        <v>1914.9761811566425</v>
      </c>
      <c r="E144">
        <v>182.4</v>
      </c>
    </row>
    <row r="145" spans="1:5" x14ac:dyDescent="0.25">
      <c r="A145" s="4">
        <v>1727413</v>
      </c>
      <c r="B145" t="s">
        <v>902</v>
      </c>
      <c r="C145" s="3">
        <v>72.026314780546059</v>
      </c>
      <c r="D145">
        <v>1448.0818617166137</v>
      </c>
      <c r="E145">
        <v>104.3</v>
      </c>
    </row>
    <row r="146" spans="1:5" x14ac:dyDescent="0.25">
      <c r="A146" s="4">
        <v>1727419</v>
      </c>
      <c r="B146" t="s">
        <v>1068</v>
      </c>
      <c r="C146" s="3">
        <v>92.735610875883822</v>
      </c>
      <c r="D146">
        <v>1864.4401904184056</v>
      </c>
      <c r="E146">
        <v>172.9</v>
      </c>
    </row>
    <row r="147" spans="1:5" x14ac:dyDescent="0.25">
      <c r="A147" s="4">
        <v>1727415</v>
      </c>
      <c r="B147" t="s">
        <v>1008</v>
      </c>
      <c r="C147" s="3">
        <v>50</v>
      </c>
      <c r="D147">
        <v>828</v>
      </c>
      <c r="E147">
        <v>41.4</v>
      </c>
    </row>
    <row r="148" spans="1:5" x14ac:dyDescent="0.25">
      <c r="A148" s="4">
        <v>1727424</v>
      </c>
      <c r="B148" t="s">
        <v>1090</v>
      </c>
      <c r="C148" s="3">
        <v>65.212687416169373</v>
      </c>
      <c r="D148">
        <v>1311.0945643807408</v>
      </c>
      <c r="E148">
        <v>85.5</v>
      </c>
    </row>
    <row r="149" spans="1:5" x14ac:dyDescent="0.25">
      <c r="A149" s="4">
        <v>1727206</v>
      </c>
      <c r="B149" t="s">
        <v>999</v>
      </c>
      <c r="C149" s="3">
        <v>74.670979250799803</v>
      </c>
      <c r="D149">
        <v>1501.2525766333683</v>
      </c>
      <c r="E149">
        <v>112.1</v>
      </c>
    </row>
    <row r="150" spans="1:5" x14ac:dyDescent="0.25">
      <c r="A150" s="4">
        <v>1727212</v>
      </c>
      <c r="B150" t="s">
        <v>1007</v>
      </c>
      <c r="C150" s="3">
        <v>74.370625491232602</v>
      </c>
      <c r="D150">
        <v>1495.2139943089378</v>
      </c>
      <c r="E150">
        <v>111.2</v>
      </c>
    </row>
    <row r="151" spans="1:5" x14ac:dyDescent="0.25">
      <c r="A151" s="4">
        <v>1727220</v>
      </c>
      <c r="B151" t="s">
        <v>901</v>
      </c>
      <c r="C151" s="3">
        <v>90.784204980788047</v>
      </c>
      <c r="D151">
        <v>1825.207369884065</v>
      </c>
      <c r="E151">
        <v>165.7</v>
      </c>
    </row>
    <row r="152" spans="1:5" x14ac:dyDescent="0.25">
      <c r="A152" s="4">
        <v>1727224</v>
      </c>
      <c r="B152" t="s">
        <v>916</v>
      </c>
      <c r="C152" s="3">
        <v>93.749144920974956</v>
      </c>
      <c r="D152">
        <v>1884.8171911215591</v>
      </c>
      <c r="E152">
        <v>176.7</v>
      </c>
    </row>
    <row r="153" spans="1:5" x14ac:dyDescent="0.25">
      <c r="A153" s="4">
        <v>1727228</v>
      </c>
      <c r="B153" t="s">
        <v>913</v>
      </c>
      <c r="C153" s="3">
        <v>81.761466942273969</v>
      </c>
      <c r="D153">
        <v>1643.8061231813563</v>
      </c>
      <c r="E153">
        <v>134.4</v>
      </c>
    </row>
    <row r="154" spans="1:5" x14ac:dyDescent="0.25">
      <c r="A154" s="4">
        <v>1727233</v>
      </c>
      <c r="B154" t="s">
        <v>967</v>
      </c>
      <c r="C154" s="3">
        <v>75.926041587613412</v>
      </c>
      <c r="D154">
        <v>1526.4854795078365</v>
      </c>
      <c r="E154">
        <v>115.9</v>
      </c>
    </row>
    <row r="155" spans="1:5" x14ac:dyDescent="0.25">
      <c r="A155" s="4">
        <v>1727237</v>
      </c>
      <c r="B155" t="s">
        <v>937</v>
      </c>
      <c r="C155" s="3">
        <v>92.278583775997845</v>
      </c>
      <c r="D155">
        <v>1855.2517062418337</v>
      </c>
      <c r="E155">
        <v>171.2</v>
      </c>
    </row>
    <row r="156" spans="1:5" x14ac:dyDescent="0.25">
      <c r="A156" s="4">
        <v>1727239</v>
      </c>
      <c r="B156" t="s">
        <v>1082</v>
      </c>
      <c r="C156" s="3">
        <v>83.208684904715867</v>
      </c>
      <c r="D156">
        <v>1672.9022957086877</v>
      </c>
      <c r="E156">
        <v>139.19999999999999</v>
      </c>
    </row>
    <row r="157" spans="1:5" x14ac:dyDescent="0.25">
      <c r="A157" s="4">
        <v>1727248</v>
      </c>
      <c r="B157" t="s">
        <v>959</v>
      </c>
      <c r="C157" s="3">
        <v>93.403647251304491</v>
      </c>
      <c r="D157">
        <v>1877.8709949953302</v>
      </c>
      <c r="E157">
        <v>175.4</v>
      </c>
    </row>
    <row r="158" spans="1:5" x14ac:dyDescent="0.25">
      <c r="A158" s="4">
        <v>1727249</v>
      </c>
      <c r="B158" t="s">
        <v>1009</v>
      </c>
      <c r="C158" s="3">
        <v>94.146220585893047</v>
      </c>
      <c r="D158">
        <v>1892.8003576885128</v>
      </c>
      <c r="E158">
        <v>178.2</v>
      </c>
    </row>
    <row r="159" spans="1:5" x14ac:dyDescent="0.25">
      <c r="A159" s="4">
        <v>1727250</v>
      </c>
      <c r="B159" t="s">
        <v>1015</v>
      </c>
      <c r="C159" s="3">
        <v>71.052941459905782</v>
      </c>
      <c r="D159">
        <v>1428.5122883656418</v>
      </c>
      <c r="E159">
        <v>101.5</v>
      </c>
    </row>
    <row r="160" spans="1:5" x14ac:dyDescent="0.25">
      <c r="A160" s="4">
        <v>1727253</v>
      </c>
      <c r="B160" t="s">
        <v>1046</v>
      </c>
      <c r="C160" s="3">
        <v>82.548526235713297</v>
      </c>
      <c r="D160">
        <v>1659.6298716321496</v>
      </c>
      <c r="E160">
        <v>137</v>
      </c>
    </row>
    <row r="161" spans="1:5" x14ac:dyDescent="0.25">
      <c r="A161" s="4">
        <v>1727256</v>
      </c>
      <c r="B161" t="s">
        <v>1066</v>
      </c>
      <c r="C161" s="3">
        <v>85.070803968139941</v>
      </c>
      <c r="D161">
        <v>1710.3400134139033</v>
      </c>
      <c r="E161">
        <v>145.5</v>
      </c>
    </row>
    <row r="162" spans="1:5" x14ac:dyDescent="0.25">
      <c r="A162" s="4">
        <v>1727259</v>
      </c>
      <c r="B162" t="s">
        <v>1089</v>
      </c>
      <c r="C162" s="3">
        <v>99.738776941680314</v>
      </c>
      <c r="D162">
        <v>2005.238144407414</v>
      </c>
      <c r="E162">
        <v>200</v>
      </c>
    </row>
    <row r="163" spans="1:5" x14ac:dyDescent="0.25">
      <c r="A163" s="4">
        <v>1727265</v>
      </c>
      <c r="B163" t="s">
        <v>1034</v>
      </c>
      <c r="C163" s="3">
        <v>99.364052597650172</v>
      </c>
      <c r="D163">
        <v>1997.7043489135453</v>
      </c>
      <c r="E163">
        <v>198.5</v>
      </c>
    </row>
    <row r="164" spans="1:5" x14ac:dyDescent="0.25">
      <c r="A164" s="4">
        <v>1730401</v>
      </c>
      <c r="B164" t="s">
        <v>1052</v>
      </c>
      <c r="C164" s="3">
        <v>126.5150118126225</v>
      </c>
      <c r="D164">
        <v>2543.5716709777344</v>
      </c>
      <c r="E164">
        <v>321.8</v>
      </c>
    </row>
    <row r="165" spans="1:5" x14ac:dyDescent="0.25">
      <c r="A165" s="4">
        <v>1730405</v>
      </c>
      <c r="B165" t="s">
        <v>968</v>
      </c>
      <c r="C165" s="3">
        <v>123.79265848821242</v>
      </c>
      <c r="D165">
        <v>2488.8390294109195</v>
      </c>
      <c r="E165">
        <v>308.10000000000002</v>
      </c>
    </row>
    <row r="166" spans="1:5" x14ac:dyDescent="0.25">
      <c r="A166" s="4">
        <v>1730408</v>
      </c>
      <c r="B166" t="s">
        <v>966</v>
      </c>
      <c r="C166" s="3">
        <v>70.94785940862532</v>
      </c>
      <c r="D166">
        <v>1426.3996242245591</v>
      </c>
      <c r="E166">
        <v>101.2</v>
      </c>
    </row>
    <row r="167" spans="1:5" x14ac:dyDescent="0.25">
      <c r="A167" s="4">
        <v>1730412</v>
      </c>
      <c r="B167" t="s">
        <v>975</v>
      </c>
      <c r="C167" s="3">
        <v>112.28920894605018</v>
      </c>
      <c r="D167">
        <v>2257.563325802706</v>
      </c>
      <c r="E167">
        <v>253.5</v>
      </c>
    </row>
    <row r="168" spans="1:5" x14ac:dyDescent="0.25">
      <c r="A168" s="4">
        <v>1730203</v>
      </c>
      <c r="B168" t="s">
        <v>1004</v>
      </c>
      <c r="C168" s="3">
        <v>106.5852456050509</v>
      </c>
      <c r="D168">
        <v>2142.8857127780216</v>
      </c>
      <c r="E168">
        <v>228.4</v>
      </c>
    </row>
    <row r="169" spans="1:5" x14ac:dyDescent="0.25">
      <c r="A169" s="4">
        <v>1730206</v>
      </c>
      <c r="B169" t="s">
        <v>974</v>
      </c>
      <c r="C169" s="3">
        <v>101.71399397750119</v>
      </c>
      <c r="D169">
        <v>2044.9496855467983</v>
      </c>
      <c r="E169">
        <v>208</v>
      </c>
    </row>
    <row r="170" spans="1:5" x14ac:dyDescent="0.25">
      <c r="A170" s="4">
        <v>1730209</v>
      </c>
      <c r="B170" t="s">
        <v>906</v>
      </c>
      <c r="C170" s="3">
        <v>107.65321418370624</v>
      </c>
      <c r="D170">
        <v>2164.3571143393278</v>
      </c>
      <c r="E170">
        <v>233</v>
      </c>
    </row>
    <row r="171" spans="1:5" x14ac:dyDescent="0.25">
      <c r="A171" s="4">
        <v>1730212</v>
      </c>
      <c r="B171" t="s">
        <v>910</v>
      </c>
      <c r="C171" s="3">
        <v>110.88512073996363</v>
      </c>
      <c r="D171">
        <v>2229.334272717329</v>
      </c>
      <c r="E171">
        <v>247.2</v>
      </c>
    </row>
    <row r="172" spans="1:5" x14ac:dyDescent="0.25">
      <c r="A172" s="4">
        <v>1730215</v>
      </c>
      <c r="B172" t="s">
        <v>905</v>
      </c>
      <c r="C172" s="3">
        <v>109.8938482434218</v>
      </c>
      <c r="D172">
        <v>2209.4048382233618</v>
      </c>
      <c r="E172">
        <v>242.8</v>
      </c>
    </row>
    <row r="173" spans="1:5" x14ac:dyDescent="0.25">
      <c r="A173" s="4">
        <v>1730218</v>
      </c>
      <c r="B173" t="s">
        <v>965</v>
      </c>
      <c r="C173" s="3">
        <v>117.12407429734031</v>
      </c>
      <c r="D173">
        <v>2354.7678105854875</v>
      </c>
      <c r="E173">
        <v>275.8</v>
      </c>
    </row>
    <row r="174" spans="1:5" x14ac:dyDescent="0.25">
      <c r="A174" s="4">
        <v>1730221</v>
      </c>
      <c r="B174" t="s">
        <v>1047</v>
      </c>
      <c r="C174" s="3">
        <v>109.57656280595531</v>
      </c>
      <c r="D174">
        <v>2203.0258462065972</v>
      </c>
      <c r="E174">
        <v>241.4</v>
      </c>
    </row>
    <row r="175" spans="1:5" x14ac:dyDescent="0.25">
      <c r="A175" s="4">
        <v>1730224</v>
      </c>
      <c r="B175" t="s">
        <v>1018</v>
      </c>
      <c r="C175" s="3">
        <v>103.86729380418188</v>
      </c>
      <c r="D175">
        <v>2088.2415634021959</v>
      </c>
      <c r="E175">
        <v>216.9</v>
      </c>
    </row>
    <row r="176" spans="1:5" x14ac:dyDescent="0.25">
      <c r="A176" s="4">
        <v>1730226</v>
      </c>
      <c r="B176" t="s">
        <v>1027</v>
      </c>
      <c r="C176" s="3">
        <v>64.599628567294715</v>
      </c>
      <c r="D176">
        <v>1298.7690774816099</v>
      </c>
      <c r="E176">
        <v>83.9</v>
      </c>
    </row>
    <row r="177" spans="1:5" x14ac:dyDescent="0.25">
      <c r="A177" s="4">
        <v>1730227</v>
      </c>
      <c r="B177" t="s">
        <v>1035</v>
      </c>
      <c r="C177" s="3">
        <v>104.03476392482764</v>
      </c>
      <c r="D177">
        <v>2091.6085334439854</v>
      </c>
      <c r="E177">
        <v>217.6</v>
      </c>
    </row>
    <row r="178" spans="1:5" x14ac:dyDescent="0.25">
      <c r="A178" s="4">
        <v>1730230</v>
      </c>
      <c r="B178" t="s">
        <v>1039</v>
      </c>
      <c r="C178" s="3">
        <v>108.43582215173134</v>
      </c>
      <c r="D178">
        <v>2180.0913693374482</v>
      </c>
      <c r="E178">
        <v>236.4</v>
      </c>
    </row>
    <row r="179" spans="1:5" x14ac:dyDescent="0.25">
      <c r="A179" s="4">
        <v>1730233</v>
      </c>
      <c r="B179" t="s">
        <v>1051</v>
      </c>
      <c r="C179" s="3">
        <v>104.96292043192277</v>
      </c>
      <c r="D179">
        <v>2110.2690272767445</v>
      </c>
      <c r="E179">
        <v>221.5</v>
      </c>
    </row>
    <row r="180" spans="1:5" x14ac:dyDescent="0.25">
      <c r="A180" s="4">
        <v>1730236</v>
      </c>
      <c r="B180" t="s">
        <v>926</v>
      </c>
      <c r="C180" s="3">
        <v>93.855196023798328</v>
      </c>
      <c r="D180">
        <v>1886.9493379470834</v>
      </c>
      <c r="E180">
        <v>177.1</v>
      </c>
    </row>
    <row r="181" spans="1:5" x14ac:dyDescent="0.25">
      <c r="A181" s="4">
        <v>1730238</v>
      </c>
      <c r="B181" t="s">
        <v>1054</v>
      </c>
      <c r="C181" s="3">
        <v>79.510011408690204</v>
      </c>
      <c r="D181">
        <v>1598.5408346464951</v>
      </c>
      <c r="E181">
        <v>127.1</v>
      </c>
    </row>
    <row r="182" spans="1:5" x14ac:dyDescent="0.25">
      <c r="A182" s="4">
        <v>1730242</v>
      </c>
      <c r="B182" t="s">
        <v>930</v>
      </c>
      <c r="C182" s="3">
        <v>77.192916461729411</v>
      </c>
      <c r="D182">
        <v>1551.9558722644488</v>
      </c>
      <c r="E182">
        <v>119.8</v>
      </c>
    </row>
    <row r="183" spans="1:5" x14ac:dyDescent="0.25">
      <c r="A183" s="4">
        <v>1733401</v>
      </c>
      <c r="B183" t="s">
        <v>1044</v>
      </c>
      <c r="C183" s="3">
        <v>87.264305334809947</v>
      </c>
      <c r="D183">
        <v>1754.4401392138057</v>
      </c>
      <c r="E183">
        <v>153.1</v>
      </c>
    </row>
    <row r="184" spans="1:5" x14ac:dyDescent="0.25">
      <c r="A184" s="4">
        <v>1733406</v>
      </c>
      <c r="B184" t="s">
        <v>1059</v>
      </c>
      <c r="C184" s="3">
        <v>70.101532587784391</v>
      </c>
      <c r="D184">
        <v>1409.3843080574316</v>
      </c>
      <c r="E184">
        <v>98.8</v>
      </c>
    </row>
    <row r="185" spans="1:5" x14ac:dyDescent="0.25">
      <c r="A185" s="4">
        <v>1733204</v>
      </c>
      <c r="B185" t="s">
        <v>907</v>
      </c>
      <c r="C185" s="3">
        <v>93.589842945356523</v>
      </c>
      <c r="D185">
        <v>1881.6144408193734</v>
      </c>
      <c r="E185">
        <v>176.1</v>
      </c>
    </row>
    <row r="186" spans="1:5" x14ac:dyDescent="0.25">
      <c r="A186" s="4">
        <v>1733208</v>
      </c>
      <c r="B186" t="s">
        <v>925</v>
      </c>
      <c r="C186" s="3">
        <v>88.425049448085105</v>
      </c>
      <c r="D186">
        <v>1777.7767836284115</v>
      </c>
      <c r="E186">
        <v>157.19999999999999</v>
      </c>
    </row>
    <row r="187" spans="1:5" x14ac:dyDescent="0.25">
      <c r="A187" s="4">
        <v>1733212</v>
      </c>
      <c r="B187" t="s">
        <v>972</v>
      </c>
      <c r="C187" s="3">
        <v>95.223112924000688</v>
      </c>
      <c r="D187">
        <v>1914.4511705419354</v>
      </c>
      <c r="E187">
        <v>182.3</v>
      </c>
    </row>
    <row r="188" spans="1:5" x14ac:dyDescent="0.25">
      <c r="A188" s="4">
        <v>1733217</v>
      </c>
      <c r="B188" t="s">
        <v>1043</v>
      </c>
      <c r="C188" s="3">
        <v>103.04999621817198</v>
      </c>
      <c r="D188">
        <v>2071.8098771007149</v>
      </c>
      <c r="E188">
        <v>213.5</v>
      </c>
    </row>
    <row r="189" spans="1:5" x14ac:dyDescent="0.25">
      <c r="A189" s="4">
        <v>1733220</v>
      </c>
      <c r="B189" t="s">
        <v>1056</v>
      </c>
      <c r="C189" s="3">
        <v>101.22380320160335</v>
      </c>
      <c r="D189">
        <v>2035.094448977758</v>
      </c>
      <c r="E189">
        <v>206</v>
      </c>
    </row>
    <row r="190" spans="1:5" x14ac:dyDescent="0.25">
      <c r="A190" s="4">
        <v>1733221</v>
      </c>
      <c r="B190" t="s">
        <v>1036</v>
      </c>
      <c r="C190" s="3">
        <v>54.309572867555303</v>
      </c>
      <c r="D190">
        <v>1091.8885358317002</v>
      </c>
      <c r="E190">
        <v>59.3</v>
      </c>
    </row>
    <row r="191" spans="1:5" x14ac:dyDescent="0.25">
      <c r="A191" s="4">
        <v>1733223</v>
      </c>
      <c r="B191" t="s">
        <v>1060</v>
      </c>
      <c r="C191" s="3">
        <v>99.339020716009074</v>
      </c>
      <c r="D191">
        <v>1997.2010854343632</v>
      </c>
      <c r="E191">
        <v>198.4</v>
      </c>
    </row>
    <row r="192" spans="1:5" x14ac:dyDescent="0.25">
      <c r="A192" s="4">
        <v>1733226</v>
      </c>
      <c r="B192" t="s">
        <v>1058</v>
      </c>
      <c r="C192" s="3">
        <v>87.747452876915048</v>
      </c>
      <c r="D192">
        <v>1764.153772271211</v>
      </c>
      <c r="E192">
        <v>154.80000000000001</v>
      </c>
    </row>
    <row r="193" spans="1:5" x14ac:dyDescent="0.25">
      <c r="A193" s="4">
        <v>1733230</v>
      </c>
      <c r="B193" t="s">
        <v>1077</v>
      </c>
      <c r="C193" s="3">
        <v>94.725587411700317</v>
      </c>
      <c r="D193">
        <v>1904.4484698304163</v>
      </c>
      <c r="E193">
        <v>180.4</v>
      </c>
    </row>
    <row r="194" spans="1:5" x14ac:dyDescent="0.25">
      <c r="A194" s="4">
        <v>1733233</v>
      </c>
      <c r="B194" t="s">
        <v>1086</v>
      </c>
      <c r="C194" s="3">
        <v>78.280644820456814</v>
      </c>
      <c r="D194">
        <v>1573.824542229685</v>
      </c>
      <c r="E194">
        <v>123.2</v>
      </c>
    </row>
    <row r="195" spans="1:5" x14ac:dyDescent="0.25">
      <c r="A195" s="4">
        <v>1733236</v>
      </c>
      <c r="B195" t="s">
        <v>1087</v>
      </c>
      <c r="C195" s="3">
        <v>67.829701657480371</v>
      </c>
      <c r="D195">
        <v>1363.7093742074412</v>
      </c>
      <c r="E195">
        <v>92.5</v>
      </c>
    </row>
    <row r="196" spans="1:5" x14ac:dyDescent="0.25">
      <c r="A196" s="4">
        <v>1726262</v>
      </c>
      <c r="B196" t="s">
        <v>1050</v>
      </c>
      <c r="C196" s="3">
        <v>122.03233984422292</v>
      </c>
      <c r="D196">
        <v>2453.4479989664292</v>
      </c>
      <c r="E196">
        <v>299.39999999999998</v>
      </c>
    </row>
    <row r="197" spans="1:5" x14ac:dyDescent="0.25">
      <c r="A197" s="4">
        <v>1726264</v>
      </c>
      <c r="B197" t="s">
        <v>903</v>
      </c>
      <c r="C197" s="3">
        <v>54.856327317924169</v>
      </c>
      <c r="D197">
        <v>1102.8809794240776</v>
      </c>
      <c r="E197">
        <v>60.5</v>
      </c>
    </row>
    <row r="198" spans="1:5" x14ac:dyDescent="0.25">
      <c r="A198" s="4">
        <v>1726266</v>
      </c>
      <c r="B198" t="s">
        <v>1083</v>
      </c>
      <c r="C198" s="3">
        <v>136.77310528155292</v>
      </c>
      <c r="D198">
        <v>2749.8096151709292</v>
      </c>
      <c r="E198">
        <v>376.1</v>
      </c>
    </row>
    <row r="199" spans="1:5" x14ac:dyDescent="0.25">
      <c r="A199" s="4">
        <v>1726269</v>
      </c>
      <c r="B199" t="s">
        <v>980</v>
      </c>
      <c r="C199" s="3">
        <v>128.34950691125252</v>
      </c>
      <c r="D199">
        <v>2580.4540116309818</v>
      </c>
      <c r="E199">
        <v>331.2</v>
      </c>
    </row>
    <row r="200" spans="1:5" x14ac:dyDescent="0.25">
      <c r="A200" s="4">
        <v>1726273</v>
      </c>
      <c r="B200" t="s">
        <v>982</v>
      </c>
      <c r="C200" s="3">
        <v>87.007435195221902</v>
      </c>
      <c r="D200">
        <v>1749.2757907241266</v>
      </c>
      <c r="E200">
        <v>152.19999999999999</v>
      </c>
    </row>
    <row r="201" spans="1:5" x14ac:dyDescent="0.25">
      <c r="A201" s="4">
        <v>1726277</v>
      </c>
      <c r="B201" t="s">
        <v>1071</v>
      </c>
      <c r="C201" s="3">
        <v>134.81347768074698</v>
      </c>
      <c r="D201">
        <v>2710.4114980648078</v>
      </c>
      <c r="E201">
        <v>365.4</v>
      </c>
    </row>
    <row r="202" spans="1:5" x14ac:dyDescent="0.25">
      <c r="A202" s="4">
        <v>1726280</v>
      </c>
      <c r="B202" t="s">
        <v>1001</v>
      </c>
      <c r="C202" s="3">
        <v>141.82559490942603</v>
      </c>
      <c r="D202">
        <v>2851.38941428916</v>
      </c>
      <c r="E202">
        <v>404.4</v>
      </c>
    </row>
    <row r="203" spans="1:5" x14ac:dyDescent="0.25">
      <c r="A203" s="4">
        <v>1726283</v>
      </c>
      <c r="B203" t="s">
        <v>1025</v>
      </c>
      <c r="C203" s="3">
        <v>91.466494790805882</v>
      </c>
      <c r="D203">
        <v>1838.9247383393474</v>
      </c>
      <c r="E203">
        <v>168.2</v>
      </c>
    </row>
    <row r="204" spans="1:5" x14ac:dyDescent="0.25">
      <c r="A204" s="4">
        <v>1726287</v>
      </c>
      <c r="B204" t="s">
        <v>1085</v>
      </c>
      <c r="C204" s="3">
        <v>81.487252194661451</v>
      </c>
      <c r="D204">
        <v>1638.2930630804374</v>
      </c>
      <c r="E204">
        <v>133.5</v>
      </c>
    </row>
    <row r="205" spans="1:5" x14ac:dyDescent="0.25">
      <c r="A205" s="4">
        <v>1726290</v>
      </c>
      <c r="B205" t="s">
        <v>1093</v>
      </c>
      <c r="C205" s="3">
        <v>122.17491293447398</v>
      </c>
      <c r="D205">
        <v>2456.3144166998713</v>
      </c>
      <c r="E205">
        <v>300.10000000000002</v>
      </c>
    </row>
    <row r="206" spans="1:5" x14ac:dyDescent="0.25">
      <c r="A206" s="4">
        <v>1726292</v>
      </c>
      <c r="B206" t="s">
        <v>1095</v>
      </c>
      <c r="C206" s="3">
        <v>93.21707964292672</v>
      </c>
      <c r="D206">
        <v>1874.1200718709297</v>
      </c>
      <c r="E206">
        <v>174.7</v>
      </c>
    </row>
    <row r="207" spans="1:5" x14ac:dyDescent="0.25">
      <c r="A207" s="4">
        <v>1726294</v>
      </c>
      <c r="B207" t="s">
        <v>1064</v>
      </c>
      <c r="C207" s="3">
        <v>116.9753452541112</v>
      </c>
      <c r="D207">
        <v>2351.7776280325311</v>
      </c>
      <c r="E207">
        <v>275.10000000000002</v>
      </c>
    </row>
  </sheetData>
  <autoFilter ref="A1:E1" xr:uid="{1471F415-FD64-4A46-AF27-ABC3C41C383B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"/>
  <sheetViews>
    <sheetView topLeftCell="B1" zoomScale="111" workbookViewId="0">
      <selection activeCell="H8" sqref="H8"/>
    </sheetView>
  </sheetViews>
  <sheetFormatPr defaultColWidth="8.85546875" defaultRowHeight="15" x14ac:dyDescent="0.25"/>
  <cols>
    <col min="1" max="1" width="20.140625" customWidth="1"/>
    <col min="2" max="2" width="25.85546875" customWidth="1"/>
    <col min="3" max="3" width="20.7109375" customWidth="1"/>
    <col min="4" max="4" width="22.7109375" customWidth="1"/>
    <col min="5" max="5" width="19.140625" customWidth="1"/>
    <col min="8" max="8" width="11.7109375" customWidth="1"/>
    <col min="10" max="10" width="16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889</v>
      </c>
      <c r="J1" t="s">
        <v>890</v>
      </c>
    </row>
    <row r="2" spans="1:10" x14ac:dyDescent="0.25">
      <c r="A2" t="s">
        <v>5</v>
      </c>
      <c r="B2" t="s">
        <v>226</v>
      </c>
      <c r="C2" t="s">
        <v>447</v>
      </c>
      <c r="D2" t="s">
        <v>668</v>
      </c>
      <c r="E2">
        <v>36799.800000000003</v>
      </c>
      <c r="F2">
        <f>SUM(F3:F207)</f>
        <v>2623.1473561381622</v>
      </c>
    </row>
    <row r="3" spans="1:10" x14ac:dyDescent="0.25">
      <c r="A3" t="s">
        <v>7</v>
      </c>
      <c r="B3" t="s">
        <v>228</v>
      </c>
      <c r="C3" t="s">
        <v>449</v>
      </c>
      <c r="D3" t="s">
        <v>670</v>
      </c>
      <c r="E3">
        <v>339.2</v>
      </c>
      <c r="F3">
        <v>18.41738309315414</v>
      </c>
      <c r="G3">
        <v>7.0211012164671125E-3</v>
      </c>
      <c r="H3" s="3">
        <f>18500*G3</f>
        <v>129.89037250464159</v>
      </c>
      <c r="I3" t="b">
        <f>H3&gt;49</f>
        <v>1</v>
      </c>
      <c r="J3" s="3">
        <f>+E3/H3*1000</f>
        <v>2611.4329604211334</v>
      </c>
    </row>
    <row r="4" spans="1:10" x14ac:dyDescent="0.25">
      <c r="A4" t="s">
        <v>8</v>
      </c>
      <c r="B4" t="s">
        <v>229</v>
      </c>
      <c r="C4" t="s">
        <v>450</v>
      </c>
      <c r="D4" t="s">
        <v>671</v>
      </c>
      <c r="E4">
        <v>212.1</v>
      </c>
      <c r="F4">
        <v>14.563653387800741</v>
      </c>
      <c r="G4">
        <v>5.5519768470962206E-3</v>
      </c>
      <c r="H4" s="3">
        <f t="shared" ref="H4:H67" si="0">18500*G4</f>
        <v>102.71157167128008</v>
      </c>
      <c r="I4" t="b">
        <f t="shared" ref="I4:I67" si="1">H4&gt;49</f>
        <v>1</v>
      </c>
      <c r="J4" s="3">
        <f t="shared" ref="J4:J67" si="2">+E4/H4*1000</f>
        <v>2065.005885401195</v>
      </c>
    </row>
    <row r="5" spans="1:10" x14ac:dyDescent="0.25">
      <c r="A5" t="s">
        <v>9</v>
      </c>
      <c r="B5" t="s">
        <v>230</v>
      </c>
      <c r="C5" t="s">
        <v>451</v>
      </c>
      <c r="D5" t="s">
        <v>672</v>
      </c>
      <c r="E5">
        <v>205.1</v>
      </c>
      <c r="F5">
        <v>14.321312788986909</v>
      </c>
      <c r="G5">
        <v>5.4595914161951484E-3</v>
      </c>
      <c r="H5" s="3">
        <f t="shared" si="0"/>
        <v>101.00244119961025</v>
      </c>
      <c r="I5" t="b">
        <f t="shared" si="1"/>
        <v>1</v>
      </c>
      <c r="J5" s="3">
        <f t="shared" si="2"/>
        <v>2030.6439880464141</v>
      </c>
    </row>
    <row r="6" spans="1:10" x14ac:dyDescent="0.25">
      <c r="A6" t="s">
        <v>10</v>
      </c>
      <c r="B6" t="s">
        <v>231</v>
      </c>
      <c r="C6" t="s">
        <v>452</v>
      </c>
      <c r="D6" t="s">
        <v>673</v>
      </c>
      <c r="E6">
        <v>21.9</v>
      </c>
      <c r="F6">
        <v>4.6797435827190359</v>
      </c>
      <c r="G6">
        <v>1.7840185652431765E-3</v>
      </c>
      <c r="H6" s="3">
        <v>50</v>
      </c>
      <c r="I6" t="b">
        <f t="shared" si="1"/>
        <v>1</v>
      </c>
      <c r="J6" s="3">
        <f t="shared" si="2"/>
        <v>437.99999999999994</v>
      </c>
    </row>
    <row r="7" spans="1:10" x14ac:dyDescent="0.25">
      <c r="A7" t="s">
        <v>11</v>
      </c>
      <c r="B7" t="s">
        <v>232</v>
      </c>
      <c r="C7" t="s">
        <v>453</v>
      </c>
      <c r="D7" t="s">
        <v>674</v>
      </c>
      <c r="E7">
        <v>54.4</v>
      </c>
      <c r="F7">
        <v>7.37563556583431</v>
      </c>
      <c r="G7">
        <v>2.811750376346693E-3</v>
      </c>
      <c r="H7" s="3">
        <f t="shared" si="0"/>
        <v>52.017381962413822</v>
      </c>
      <c r="I7" t="b">
        <f t="shared" si="1"/>
        <v>1</v>
      </c>
      <c r="J7" s="3">
        <f t="shared" si="2"/>
        <v>1045.8042667219927</v>
      </c>
    </row>
    <row r="8" spans="1:10" x14ac:dyDescent="0.25">
      <c r="A8" t="s">
        <v>12</v>
      </c>
      <c r="B8" t="s">
        <v>233</v>
      </c>
      <c r="C8" t="s">
        <v>454</v>
      </c>
      <c r="D8" t="s">
        <v>675</v>
      </c>
      <c r="E8">
        <v>74.8</v>
      </c>
      <c r="F8">
        <v>8.6486993241758618</v>
      </c>
      <c r="G8">
        <v>3.2970695694764969E-3</v>
      </c>
      <c r="H8" s="3">
        <f t="shared" si="0"/>
        <v>60.995787035315196</v>
      </c>
      <c r="I8" t="b">
        <f t="shared" si="1"/>
        <v>1</v>
      </c>
      <c r="J8" s="3">
        <f t="shared" si="2"/>
        <v>1226.3142035808551</v>
      </c>
    </row>
    <row r="9" spans="1:10" x14ac:dyDescent="0.25">
      <c r="A9" t="s">
        <v>13</v>
      </c>
      <c r="B9" t="s">
        <v>234</v>
      </c>
      <c r="C9" t="s">
        <v>455</v>
      </c>
      <c r="D9" t="s">
        <v>676</v>
      </c>
      <c r="E9">
        <v>136</v>
      </c>
      <c r="F9">
        <v>11.661903789690601</v>
      </c>
      <c r="G9">
        <v>4.4457677005455901E-3</v>
      </c>
      <c r="H9" s="3">
        <f t="shared" si="0"/>
        <v>82.246702460093417</v>
      </c>
      <c r="I9" t="b">
        <f t="shared" si="1"/>
        <v>1</v>
      </c>
      <c r="J9" s="3">
        <f t="shared" si="2"/>
        <v>1653.5617347818657</v>
      </c>
    </row>
    <row r="10" spans="1:10" x14ac:dyDescent="0.25">
      <c r="A10" t="s">
        <v>14</v>
      </c>
      <c r="B10" t="s">
        <v>235</v>
      </c>
      <c r="C10" t="s">
        <v>456</v>
      </c>
      <c r="D10" t="s">
        <v>677</v>
      </c>
      <c r="E10">
        <v>53.8</v>
      </c>
      <c r="F10">
        <v>7.334848328356899</v>
      </c>
      <c r="G10">
        <v>2.7962014071353488E-3</v>
      </c>
      <c r="H10" s="3">
        <f t="shared" si="0"/>
        <v>51.729726032003953</v>
      </c>
      <c r="I10" t="b">
        <f t="shared" si="1"/>
        <v>1</v>
      </c>
      <c r="J10" s="3">
        <f t="shared" si="2"/>
        <v>1040.0209729839903</v>
      </c>
    </row>
    <row r="11" spans="1:10" x14ac:dyDescent="0.25">
      <c r="A11" t="s">
        <v>15</v>
      </c>
      <c r="B11" t="s">
        <v>236</v>
      </c>
      <c r="C11" t="s">
        <v>457</v>
      </c>
      <c r="D11" t="s">
        <v>678</v>
      </c>
      <c r="E11">
        <v>33.6</v>
      </c>
      <c r="F11">
        <v>5.7965506984757758</v>
      </c>
      <c r="G11">
        <v>2.2097693768182154E-3</v>
      </c>
      <c r="H11" s="3">
        <v>50</v>
      </c>
      <c r="I11" t="b">
        <f t="shared" si="1"/>
        <v>1</v>
      </c>
      <c r="J11" s="3">
        <f t="shared" si="2"/>
        <v>672</v>
      </c>
    </row>
    <row r="12" spans="1:10" x14ac:dyDescent="0.25">
      <c r="A12" t="s">
        <v>16</v>
      </c>
      <c r="B12" t="s">
        <v>237</v>
      </c>
      <c r="C12" t="s">
        <v>458</v>
      </c>
      <c r="D12" t="s">
        <v>679</v>
      </c>
      <c r="E12">
        <v>53.9</v>
      </c>
      <c r="F12">
        <v>7.341661937191061</v>
      </c>
      <c r="G12">
        <v>2.7987989008743941E-3</v>
      </c>
      <c r="H12" s="3">
        <f t="shared" si="0"/>
        <v>51.777779666176293</v>
      </c>
      <c r="I12" t="b">
        <f t="shared" si="1"/>
        <v>1</v>
      </c>
      <c r="J12" s="3">
        <f t="shared" si="2"/>
        <v>1040.9870864974544</v>
      </c>
    </row>
    <row r="13" spans="1:10" x14ac:dyDescent="0.25">
      <c r="A13" t="s">
        <v>17</v>
      </c>
      <c r="B13" t="s">
        <v>238</v>
      </c>
      <c r="C13" t="s">
        <v>459</v>
      </c>
      <c r="D13" t="s">
        <v>680</v>
      </c>
      <c r="E13">
        <v>76.8</v>
      </c>
      <c r="F13">
        <v>8.7635609200826572</v>
      </c>
      <c r="G13">
        <v>3.3408572719241005E-3</v>
      </c>
      <c r="H13" s="3">
        <f t="shared" si="0"/>
        <v>61.80585953059586</v>
      </c>
      <c r="I13" t="b">
        <f t="shared" si="1"/>
        <v>1</v>
      </c>
      <c r="J13" s="3">
        <f t="shared" si="2"/>
        <v>1242.6006301551645</v>
      </c>
    </row>
    <row r="14" spans="1:10" x14ac:dyDescent="0.25">
      <c r="A14" t="s">
        <v>18</v>
      </c>
      <c r="B14" t="s">
        <v>239</v>
      </c>
      <c r="C14" t="s">
        <v>460</v>
      </c>
      <c r="D14" t="s">
        <v>681</v>
      </c>
      <c r="E14">
        <v>38.9</v>
      </c>
      <c r="F14">
        <v>6.2369864518050697</v>
      </c>
      <c r="G14">
        <v>2.3776729268413107E-3</v>
      </c>
      <c r="H14" s="3">
        <v>50</v>
      </c>
      <c r="I14" t="b">
        <f t="shared" si="1"/>
        <v>1</v>
      </c>
      <c r="J14" s="3">
        <f t="shared" si="2"/>
        <v>778</v>
      </c>
    </row>
    <row r="15" spans="1:10" x14ac:dyDescent="0.25">
      <c r="A15" t="s">
        <v>19</v>
      </c>
      <c r="B15" t="s">
        <v>240</v>
      </c>
      <c r="C15" t="s">
        <v>461</v>
      </c>
      <c r="D15" t="s">
        <v>682</v>
      </c>
      <c r="E15">
        <v>228.8</v>
      </c>
      <c r="F15">
        <v>15.126136320951231</v>
      </c>
      <c r="G15">
        <v>5.7664073981799329E-3</v>
      </c>
      <c r="H15" s="3">
        <f t="shared" si="0"/>
        <v>106.67853686632876</v>
      </c>
      <c r="I15" t="b">
        <f t="shared" si="1"/>
        <v>1</v>
      </c>
      <c r="J15" s="3">
        <f t="shared" si="2"/>
        <v>2144.7613242642515</v>
      </c>
    </row>
    <row r="16" spans="1:10" x14ac:dyDescent="0.25">
      <c r="A16" t="s">
        <v>20</v>
      </c>
      <c r="B16" t="s">
        <v>241</v>
      </c>
      <c r="C16" t="s">
        <v>462</v>
      </c>
      <c r="D16" t="s">
        <v>683</v>
      </c>
      <c r="E16">
        <v>128.69999999999999</v>
      </c>
      <c r="F16">
        <v>11.344602240713421</v>
      </c>
      <c r="G16">
        <v>4.3248055486349492E-3</v>
      </c>
      <c r="H16" s="3">
        <f t="shared" si="0"/>
        <v>80.00890264974656</v>
      </c>
      <c r="I16" t="b">
        <f t="shared" si="1"/>
        <v>1</v>
      </c>
      <c r="J16" s="3">
        <f t="shared" si="2"/>
        <v>1608.5709931981885</v>
      </c>
    </row>
    <row r="17" spans="1:10" x14ac:dyDescent="0.25">
      <c r="A17" t="s">
        <v>21</v>
      </c>
      <c r="B17" t="s">
        <v>242</v>
      </c>
      <c r="C17" t="s">
        <v>463</v>
      </c>
      <c r="D17" t="s">
        <v>684</v>
      </c>
      <c r="E17">
        <v>115.7</v>
      </c>
      <c r="F17">
        <v>10.756393447619885</v>
      </c>
      <c r="G17">
        <v>4.1005677483005043E-3</v>
      </c>
      <c r="H17" s="3">
        <f t="shared" si="0"/>
        <v>75.86050334355933</v>
      </c>
      <c r="I17" t="b">
        <f t="shared" si="1"/>
        <v>1</v>
      </c>
      <c r="J17" s="3">
        <f t="shared" si="2"/>
        <v>1525.1678396597815</v>
      </c>
    </row>
    <row r="18" spans="1:10" x14ac:dyDescent="0.25">
      <c r="A18" t="s">
        <v>22</v>
      </c>
      <c r="B18" t="s">
        <v>243</v>
      </c>
      <c r="C18" t="s">
        <v>464</v>
      </c>
      <c r="D18" t="s">
        <v>685</v>
      </c>
      <c r="E18">
        <v>58</v>
      </c>
      <c r="F18">
        <v>7.6157731058639087</v>
      </c>
      <c r="G18">
        <v>2.903295954016082E-3</v>
      </c>
      <c r="H18" s="3">
        <f t="shared" si="0"/>
        <v>53.710975149297518</v>
      </c>
      <c r="I18" t="b">
        <f t="shared" si="1"/>
        <v>1</v>
      </c>
      <c r="J18" s="3">
        <f t="shared" si="2"/>
        <v>1079.8537885186504</v>
      </c>
    </row>
    <row r="19" spans="1:10" x14ac:dyDescent="0.25">
      <c r="A19" t="s">
        <v>23</v>
      </c>
      <c r="B19" t="s">
        <v>244</v>
      </c>
      <c r="C19" t="s">
        <v>465</v>
      </c>
      <c r="D19" t="s">
        <v>686</v>
      </c>
      <c r="E19">
        <v>171</v>
      </c>
      <c r="F19">
        <v>13.076696830622021</v>
      </c>
      <c r="G19">
        <v>4.9851171342023782E-3</v>
      </c>
      <c r="H19" s="3">
        <f t="shared" si="0"/>
        <v>92.224666982743997</v>
      </c>
      <c r="I19" t="b">
        <f t="shared" si="1"/>
        <v>1</v>
      </c>
      <c r="J19" s="3">
        <f t="shared" si="2"/>
        <v>1854.1677145008887</v>
      </c>
    </row>
    <row r="20" spans="1:10" x14ac:dyDescent="0.25">
      <c r="A20" t="s">
        <v>25</v>
      </c>
      <c r="B20" t="s">
        <v>246</v>
      </c>
      <c r="C20" t="s">
        <v>467</v>
      </c>
      <c r="D20" t="s">
        <v>688</v>
      </c>
      <c r="E20">
        <v>480.8</v>
      </c>
      <c r="F20">
        <v>21.927152117865194</v>
      </c>
      <c r="G20">
        <v>8.3591004014912391E-3</v>
      </c>
      <c r="H20" s="3">
        <f t="shared" si="0"/>
        <v>154.64335742758792</v>
      </c>
      <c r="I20" t="b">
        <f t="shared" si="1"/>
        <v>1</v>
      </c>
      <c r="J20" s="3">
        <f t="shared" si="2"/>
        <v>3109.0892489522912</v>
      </c>
    </row>
    <row r="21" spans="1:10" x14ac:dyDescent="0.25">
      <c r="A21" t="s">
        <v>26</v>
      </c>
      <c r="B21" t="s">
        <v>247</v>
      </c>
      <c r="C21" t="s">
        <v>468</v>
      </c>
      <c r="D21" t="s">
        <v>689</v>
      </c>
      <c r="E21">
        <v>45.8</v>
      </c>
      <c r="F21">
        <v>6.7675697262754522</v>
      </c>
      <c r="G21">
        <v>2.5799426442587549E-3</v>
      </c>
      <c r="H21" s="3">
        <v>50</v>
      </c>
      <c r="I21" t="b">
        <f t="shared" si="1"/>
        <v>1</v>
      </c>
      <c r="J21" s="3">
        <f t="shared" si="2"/>
        <v>915.99999999999989</v>
      </c>
    </row>
    <row r="22" spans="1:10" x14ac:dyDescent="0.25">
      <c r="A22" t="s">
        <v>27</v>
      </c>
      <c r="B22" t="s">
        <v>248</v>
      </c>
      <c r="C22" t="s">
        <v>469</v>
      </c>
      <c r="D22" t="s">
        <v>690</v>
      </c>
      <c r="E22">
        <v>192.1</v>
      </c>
      <c r="F22">
        <v>13.860014430006919</v>
      </c>
      <c r="G22">
        <v>5.2837345937026747E-3</v>
      </c>
      <c r="H22" s="3">
        <f t="shared" si="0"/>
        <v>97.749089983499488</v>
      </c>
      <c r="I22" t="b">
        <f t="shared" si="1"/>
        <v>1</v>
      </c>
      <c r="J22" s="3">
        <f t="shared" si="2"/>
        <v>1965.2356869248338</v>
      </c>
    </row>
    <row r="23" spans="1:10" x14ac:dyDescent="0.25">
      <c r="A23" t="s">
        <v>28</v>
      </c>
      <c r="B23" t="s">
        <v>249</v>
      </c>
      <c r="C23" t="s">
        <v>470</v>
      </c>
      <c r="D23" t="s">
        <v>691</v>
      </c>
      <c r="E23">
        <v>286.10000000000002</v>
      </c>
      <c r="F23">
        <v>16.91449082887215</v>
      </c>
      <c r="G23">
        <v>6.448166470439512E-3</v>
      </c>
      <c r="H23" s="3">
        <f t="shared" si="0"/>
        <v>119.29107970313098</v>
      </c>
      <c r="I23" t="b">
        <f t="shared" si="1"/>
        <v>1</v>
      </c>
      <c r="J23" s="3">
        <f t="shared" si="2"/>
        <v>2398.3352377394144</v>
      </c>
    </row>
    <row r="24" spans="1:10" x14ac:dyDescent="0.25">
      <c r="A24" t="s">
        <v>29</v>
      </c>
      <c r="B24" t="s">
        <v>250</v>
      </c>
      <c r="C24" t="s">
        <v>471</v>
      </c>
      <c r="D24" t="s">
        <v>692</v>
      </c>
      <c r="E24">
        <v>215.8</v>
      </c>
      <c r="F24">
        <v>14.690132742763083</v>
      </c>
      <c r="G24">
        <v>5.6001934883254606E-3</v>
      </c>
      <c r="H24" s="3">
        <f t="shared" si="0"/>
        <v>103.60357953402102</v>
      </c>
      <c r="I24" t="b">
        <f t="shared" si="1"/>
        <v>1</v>
      </c>
      <c r="J24" s="3">
        <f t="shared" si="2"/>
        <v>2082.9396143512231</v>
      </c>
    </row>
    <row r="25" spans="1:10" x14ac:dyDescent="0.25">
      <c r="A25" t="s">
        <v>30</v>
      </c>
      <c r="B25" t="s">
        <v>251</v>
      </c>
      <c r="C25" t="s">
        <v>472</v>
      </c>
      <c r="D25" t="s">
        <v>693</v>
      </c>
      <c r="E25">
        <v>77.900000000000006</v>
      </c>
      <c r="F25">
        <v>8.8260976654464915</v>
      </c>
      <c r="G25">
        <v>3.3646976197480604E-3</v>
      </c>
      <c r="H25" s="3">
        <f t="shared" si="0"/>
        <v>62.246905965339117</v>
      </c>
      <c r="I25" t="b">
        <f t="shared" si="1"/>
        <v>1</v>
      </c>
      <c r="J25" s="3">
        <f t="shared" si="2"/>
        <v>1251.4678246558469</v>
      </c>
    </row>
    <row r="26" spans="1:10" x14ac:dyDescent="0.25">
      <c r="A26" t="s">
        <v>31</v>
      </c>
      <c r="B26" t="s">
        <v>252</v>
      </c>
      <c r="C26" t="s">
        <v>473</v>
      </c>
      <c r="D26" t="s">
        <v>694</v>
      </c>
      <c r="E26">
        <v>153.1</v>
      </c>
      <c r="F26">
        <v>12.373358476985947</v>
      </c>
      <c r="G26">
        <v>4.7169894775572945E-3</v>
      </c>
      <c r="H26" s="3">
        <f t="shared" si="0"/>
        <v>87.264305334809947</v>
      </c>
      <c r="I26" t="b">
        <f t="shared" si="1"/>
        <v>1</v>
      </c>
      <c r="J26" s="3">
        <f t="shared" si="2"/>
        <v>1754.4401392138057</v>
      </c>
    </row>
    <row r="27" spans="1:10" x14ac:dyDescent="0.25">
      <c r="A27" t="s">
        <v>32</v>
      </c>
      <c r="B27" t="s">
        <v>253</v>
      </c>
      <c r="C27" t="s">
        <v>474</v>
      </c>
      <c r="D27" t="s">
        <v>695</v>
      </c>
      <c r="E27">
        <v>198.8</v>
      </c>
      <c r="F27">
        <v>14.099645385611653</v>
      </c>
      <c r="G27">
        <v>5.3750870505305378E-3</v>
      </c>
      <c r="H27" s="3">
        <f t="shared" si="0"/>
        <v>99.43911043481495</v>
      </c>
      <c r="I27" t="b">
        <f t="shared" si="1"/>
        <v>1</v>
      </c>
      <c r="J27" s="3">
        <f t="shared" si="2"/>
        <v>1999.2133792298841</v>
      </c>
    </row>
    <row r="28" spans="1:10" x14ac:dyDescent="0.25">
      <c r="A28" t="s">
        <v>33</v>
      </c>
      <c r="B28" t="s">
        <v>254</v>
      </c>
      <c r="C28" t="s">
        <v>475</v>
      </c>
      <c r="D28" t="s">
        <v>696</v>
      </c>
      <c r="E28">
        <v>255.3</v>
      </c>
      <c r="F28">
        <v>15.97811002590732</v>
      </c>
      <c r="G28">
        <v>6.0911980367852987E-3</v>
      </c>
      <c r="H28" s="3">
        <f t="shared" si="0"/>
        <v>112.68716368052803</v>
      </c>
      <c r="I28" t="b">
        <f t="shared" si="1"/>
        <v>1</v>
      </c>
      <c r="J28" s="3">
        <f t="shared" si="2"/>
        <v>2265.5641659753214</v>
      </c>
    </row>
    <row r="29" spans="1:10" x14ac:dyDescent="0.25">
      <c r="A29" t="s">
        <v>34</v>
      </c>
      <c r="B29" t="s">
        <v>255</v>
      </c>
      <c r="C29" t="s">
        <v>476</v>
      </c>
      <c r="D29" t="s">
        <v>697</v>
      </c>
      <c r="E29">
        <v>63.8</v>
      </c>
      <c r="F29">
        <v>7.987490219086343</v>
      </c>
      <c r="G29">
        <v>3.045002485428668E-3</v>
      </c>
      <c r="H29" s="3">
        <f t="shared" si="0"/>
        <v>56.332545980430361</v>
      </c>
      <c r="I29" t="b">
        <f t="shared" si="1"/>
        <v>1</v>
      </c>
      <c r="J29" s="3">
        <f t="shared" si="2"/>
        <v>1132.5602081284201</v>
      </c>
    </row>
    <row r="30" spans="1:10" x14ac:dyDescent="0.25">
      <c r="A30" t="s">
        <v>35</v>
      </c>
      <c r="B30" t="s">
        <v>256</v>
      </c>
      <c r="C30" t="s">
        <v>477</v>
      </c>
      <c r="D30" t="s">
        <v>698</v>
      </c>
      <c r="E30">
        <v>230.4</v>
      </c>
      <c r="F30">
        <v>15.17893276880822</v>
      </c>
      <c r="G30">
        <v>5.7865345358084942E-3</v>
      </c>
      <c r="H30" s="3">
        <f t="shared" si="0"/>
        <v>107.05088891245714</v>
      </c>
      <c r="I30" t="b">
        <f t="shared" si="1"/>
        <v>1</v>
      </c>
      <c r="J30" s="3">
        <f t="shared" si="2"/>
        <v>2152.2474249458487</v>
      </c>
    </row>
    <row r="31" spans="1:10" x14ac:dyDescent="0.25">
      <c r="A31" t="s">
        <v>36</v>
      </c>
      <c r="B31" t="s">
        <v>257</v>
      </c>
      <c r="C31" t="s">
        <v>478</v>
      </c>
      <c r="D31" t="s">
        <v>699</v>
      </c>
      <c r="E31">
        <v>355</v>
      </c>
      <c r="F31">
        <v>18.841443681416774</v>
      </c>
      <c r="G31">
        <v>7.1827622025609095E-3</v>
      </c>
      <c r="H31" s="3">
        <f t="shared" si="0"/>
        <v>132.88110074737682</v>
      </c>
      <c r="I31" t="b">
        <f t="shared" si="1"/>
        <v>1</v>
      </c>
      <c r="J31" s="3">
        <f t="shared" si="2"/>
        <v>2671.5612529045666</v>
      </c>
    </row>
    <row r="32" spans="1:10" x14ac:dyDescent="0.25">
      <c r="A32" t="s">
        <v>37</v>
      </c>
      <c r="B32" t="s">
        <v>258</v>
      </c>
      <c r="C32" t="s">
        <v>479</v>
      </c>
      <c r="D32" t="s">
        <v>700</v>
      </c>
      <c r="E32">
        <v>186.4</v>
      </c>
      <c r="F32">
        <v>13.652838532700811</v>
      </c>
      <c r="G32">
        <v>5.2047547007807934E-3</v>
      </c>
      <c r="H32" s="3">
        <f t="shared" si="0"/>
        <v>96.287961964444676</v>
      </c>
      <c r="I32" t="b">
        <f t="shared" si="1"/>
        <v>1</v>
      </c>
      <c r="J32" s="3">
        <f t="shared" si="2"/>
        <v>1935.8598540992084</v>
      </c>
    </row>
    <row r="33" spans="1:10" x14ac:dyDescent="0.25">
      <c r="A33" t="s">
        <v>38</v>
      </c>
      <c r="B33" t="s">
        <v>259</v>
      </c>
      <c r="C33" t="s">
        <v>480</v>
      </c>
      <c r="D33" t="s">
        <v>701</v>
      </c>
      <c r="E33">
        <v>324.39999999999998</v>
      </c>
      <c r="F33">
        <v>18.011107683871082</v>
      </c>
      <c r="G33">
        <v>6.8662203218302275E-3</v>
      </c>
      <c r="H33" s="3">
        <f t="shared" si="0"/>
        <v>127.02507595385921</v>
      </c>
      <c r="I33" t="b">
        <f t="shared" si="1"/>
        <v>1</v>
      </c>
      <c r="J33" s="3">
        <f t="shared" si="2"/>
        <v>2553.8264595711444</v>
      </c>
    </row>
    <row r="34" spans="1:10" x14ac:dyDescent="0.25">
      <c r="A34" t="s">
        <v>39</v>
      </c>
      <c r="B34" t="s">
        <v>260</v>
      </c>
      <c r="C34" t="s">
        <v>481</v>
      </c>
      <c r="D34" t="s">
        <v>702</v>
      </c>
      <c r="E34">
        <v>208.7</v>
      </c>
      <c r="F34">
        <v>14.446452851824906</v>
      </c>
      <c r="G34">
        <v>5.5072974905585161E-3</v>
      </c>
      <c r="H34" s="3">
        <f t="shared" si="0"/>
        <v>101.88500357533255</v>
      </c>
      <c r="I34" t="b">
        <f t="shared" si="1"/>
        <v>1</v>
      </c>
      <c r="J34" s="3">
        <f t="shared" si="2"/>
        <v>2048.3878164237362</v>
      </c>
    </row>
    <row r="35" spans="1:10" x14ac:dyDescent="0.25">
      <c r="A35" t="s">
        <v>40</v>
      </c>
      <c r="B35" t="s">
        <v>261</v>
      </c>
      <c r="C35" t="s">
        <v>482</v>
      </c>
      <c r="D35" t="s">
        <v>703</v>
      </c>
      <c r="E35">
        <v>120</v>
      </c>
      <c r="F35">
        <v>10.954451150103322</v>
      </c>
      <c r="G35">
        <v>4.1760715899051256E-3</v>
      </c>
      <c r="H35" s="3">
        <f t="shared" si="0"/>
        <v>77.257324413244817</v>
      </c>
      <c r="I35" t="b">
        <f t="shared" si="1"/>
        <v>1</v>
      </c>
      <c r="J35" s="3">
        <f t="shared" si="2"/>
        <v>1553.2507876939558</v>
      </c>
    </row>
    <row r="36" spans="1:10" x14ac:dyDescent="0.25">
      <c r="A36" t="s">
        <v>42</v>
      </c>
      <c r="B36" t="s">
        <v>263</v>
      </c>
      <c r="C36" t="s">
        <v>484</v>
      </c>
      <c r="D36" t="s">
        <v>705</v>
      </c>
      <c r="E36">
        <v>294.5</v>
      </c>
      <c r="F36">
        <v>17.161002301730512</v>
      </c>
      <c r="G36">
        <v>6.5421419279301195E-3</v>
      </c>
      <c r="H36" s="3">
        <f t="shared" si="0"/>
        <v>121.0296256667072</v>
      </c>
      <c r="I36" t="b">
        <f t="shared" si="1"/>
        <v>1</v>
      </c>
      <c r="J36" s="3">
        <f t="shared" si="2"/>
        <v>2433.2885306197468</v>
      </c>
    </row>
    <row r="37" spans="1:10" x14ac:dyDescent="0.25">
      <c r="A37" t="s">
        <v>43</v>
      </c>
      <c r="B37" t="s">
        <v>264</v>
      </c>
      <c r="C37" t="s">
        <v>485</v>
      </c>
      <c r="D37" t="s">
        <v>706</v>
      </c>
      <c r="E37">
        <v>64.7</v>
      </c>
      <c r="F37">
        <v>8.0436310208760826</v>
      </c>
      <c r="G37">
        <v>3.0664045624634825E-3</v>
      </c>
      <c r="H37" s="3">
        <f t="shared" si="0"/>
        <v>56.728484405574427</v>
      </c>
      <c r="I37" t="b">
        <f t="shared" si="1"/>
        <v>1</v>
      </c>
      <c r="J37" s="3">
        <f t="shared" si="2"/>
        <v>1140.5205106033513</v>
      </c>
    </row>
    <row r="38" spans="1:10" x14ac:dyDescent="0.25">
      <c r="A38" t="s">
        <v>44</v>
      </c>
      <c r="B38" t="s">
        <v>265</v>
      </c>
      <c r="C38" t="s">
        <v>486</v>
      </c>
      <c r="D38" t="s">
        <v>707</v>
      </c>
      <c r="E38">
        <v>104.3</v>
      </c>
      <c r="F38">
        <v>10.212737145349429</v>
      </c>
      <c r="G38">
        <v>3.8933143124619493E-3</v>
      </c>
      <c r="H38" s="3">
        <f t="shared" si="0"/>
        <v>72.026314780546059</v>
      </c>
      <c r="I38" t="b">
        <f t="shared" si="1"/>
        <v>1</v>
      </c>
      <c r="J38" s="3">
        <f t="shared" si="2"/>
        <v>1448.0818617166137</v>
      </c>
    </row>
    <row r="39" spans="1:10" x14ac:dyDescent="0.25">
      <c r="A39" t="s">
        <v>45</v>
      </c>
      <c r="B39" t="s">
        <v>266</v>
      </c>
      <c r="C39" t="s">
        <v>487</v>
      </c>
      <c r="D39" t="s">
        <v>708</v>
      </c>
      <c r="E39">
        <v>178.4</v>
      </c>
      <c r="F39">
        <v>13.3566462856512</v>
      </c>
      <c r="G39">
        <v>5.091839867248274E-3</v>
      </c>
      <c r="H39" s="3">
        <f t="shared" si="0"/>
        <v>94.199037544093073</v>
      </c>
      <c r="I39" t="b">
        <f t="shared" si="1"/>
        <v>1</v>
      </c>
      <c r="J39" s="3">
        <f t="shared" si="2"/>
        <v>1893.862237355597</v>
      </c>
    </row>
    <row r="40" spans="1:10" x14ac:dyDescent="0.25">
      <c r="A40" t="s">
        <v>46</v>
      </c>
      <c r="B40" t="s">
        <v>267</v>
      </c>
      <c r="C40" t="s">
        <v>488</v>
      </c>
      <c r="D40" t="s">
        <v>709</v>
      </c>
      <c r="E40">
        <v>148.69999999999999</v>
      </c>
      <c r="F40">
        <v>12.19426094521517</v>
      </c>
      <c r="G40">
        <v>4.6487136594444882E-3</v>
      </c>
      <c r="H40" s="3">
        <f t="shared" si="0"/>
        <v>86.001202699723038</v>
      </c>
      <c r="I40" t="b">
        <f t="shared" si="1"/>
        <v>1</v>
      </c>
      <c r="J40" s="3">
        <f t="shared" si="2"/>
        <v>1729.0455869459472</v>
      </c>
    </row>
    <row r="41" spans="1:10" x14ac:dyDescent="0.25">
      <c r="A41" t="s">
        <v>47</v>
      </c>
      <c r="B41" t="s">
        <v>268</v>
      </c>
      <c r="C41" t="s">
        <v>489</v>
      </c>
      <c r="D41" t="s">
        <v>710</v>
      </c>
      <c r="E41">
        <v>322.5</v>
      </c>
      <c r="F41">
        <v>17.95828499606797</v>
      </c>
      <c r="G41">
        <v>6.8460831809717439E-3</v>
      </c>
      <c r="H41" s="3">
        <f t="shared" si="0"/>
        <v>126.65253884797727</v>
      </c>
      <c r="I41" t="b">
        <f t="shared" si="1"/>
        <v>1</v>
      </c>
      <c r="J41" s="3">
        <f t="shared" si="2"/>
        <v>2546.3366382816935</v>
      </c>
    </row>
    <row r="42" spans="1:10" x14ac:dyDescent="0.25">
      <c r="A42" t="s">
        <v>48</v>
      </c>
      <c r="B42" t="s">
        <v>269</v>
      </c>
      <c r="C42" t="s">
        <v>490</v>
      </c>
      <c r="D42" t="s">
        <v>711</v>
      </c>
      <c r="E42">
        <v>84.6</v>
      </c>
      <c r="F42">
        <v>9.1978258300535352</v>
      </c>
      <c r="G42">
        <v>3.5064083641853485E-3</v>
      </c>
      <c r="H42" s="3">
        <f t="shared" si="0"/>
        <v>64.868554737428951</v>
      </c>
      <c r="I42" t="b">
        <f t="shared" si="1"/>
        <v>1</v>
      </c>
      <c r="J42" s="3">
        <f t="shared" si="2"/>
        <v>1304.1758112607688</v>
      </c>
    </row>
    <row r="43" spans="1:10" x14ac:dyDescent="0.25">
      <c r="A43" t="s">
        <v>49</v>
      </c>
      <c r="B43" t="s">
        <v>270</v>
      </c>
      <c r="C43" t="s">
        <v>491</v>
      </c>
      <c r="D43" t="s">
        <v>712</v>
      </c>
      <c r="E43">
        <v>171.8</v>
      </c>
      <c r="F43">
        <v>13.107249902248755</v>
      </c>
      <c r="G43">
        <v>4.9967646200194601E-3</v>
      </c>
      <c r="H43" s="3">
        <f t="shared" si="0"/>
        <v>92.440145470360008</v>
      </c>
      <c r="I43" t="b">
        <f t="shared" si="1"/>
        <v>1</v>
      </c>
      <c r="J43" s="3">
        <f t="shared" si="2"/>
        <v>1858.4998879635682</v>
      </c>
    </row>
    <row r="44" spans="1:10" x14ac:dyDescent="0.25">
      <c r="A44" t="s">
        <v>50</v>
      </c>
      <c r="B44" t="s">
        <v>271</v>
      </c>
      <c r="C44" t="s">
        <v>492</v>
      </c>
      <c r="D44" t="s">
        <v>713</v>
      </c>
      <c r="E44">
        <v>19.899999999999999</v>
      </c>
      <c r="F44">
        <v>4.4609416046390926</v>
      </c>
      <c r="G44">
        <v>1.7006065611222692E-3</v>
      </c>
      <c r="H44" s="3">
        <v>50</v>
      </c>
      <c r="I44" t="b">
        <f t="shared" si="1"/>
        <v>1</v>
      </c>
      <c r="J44" s="3">
        <f t="shared" si="2"/>
        <v>397.99999999999994</v>
      </c>
    </row>
    <row r="45" spans="1:10" x14ac:dyDescent="0.25">
      <c r="A45" t="s">
        <v>51</v>
      </c>
      <c r="B45" t="s">
        <v>272</v>
      </c>
      <c r="C45" t="s">
        <v>493</v>
      </c>
      <c r="D45" t="s">
        <v>714</v>
      </c>
      <c r="E45">
        <v>131.19999999999999</v>
      </c>
      <c r="F45">
        <v>11.454256850621082</v>
      </c>
      <c r="G45">
        <v>4.3666082364065949E-3</v>
      </c>
      <c r="H45" s="3">
        <f t="shared" si="0"/>
        <v>80.782252373522013</v>
      </c>
      <c r="I45" t="b">
        <f t="shared" si="1"/>
        <v>1</v>
      </c>
      <c r="J45" s="3">
        <f t="shared" si="2"/>
        <v>1624.1191121207632</v>
      </c>
    </row>
    <row r="46" spans="1:10" x14ac:dyDescent="0.25">
      <c r="A46" t="s">
        <v>52</v>
      </c>
      <c r="B46" t="s">
        <v>273</v>
      </c>
      <c r="C46" t="s">
        <v>494</v>
      </c>
      <c r="D46" t="s">
        <v>715</v>
      </c>
      <c r="E46">
        <v>151.4</v>
      </c>
      <c r="F46">
        <v>12.30447073221762</v>
      </c>
      <c r="G46">
        <v>4.6907279926250312E-3</v>
      </c>
      <c r="H46" s="3">
        <f t="shared" si="0"/>
        <v>86.77846786356308</v>
      </c>
      <c r="I46" t="b">
        <f t="shared" si="1"/>
        <v>1</v>
      </c>
      <c r="J46" s="3">
        <f t="shared" si="2"/>
        <v>1744.6724253997863</v>
      </c>
    </row>
    <row r="47" spans="1:10" x14ac:dyDescent="0.25">
      <c r="A47" t="s">
        <v>53</v>
      </c>
      <c r="B47" t="s">
        <v>274</v>
      </c>
      <c r="C47" t="s">
        <v>495</v>
      </c>
      <c r="D47" t="s">
        <v>716</v>
      </c>
      <c r="E47">
        <v>185.5</v>
      </c>
      <c r="F47">
        <v>13.619838471876236</v>
      </c>
      <c r="G47">
        <v>5.1921743702296507E-3</v>
      </c>
      <c r="H47" s="3">
        <f t="shared" si="0"/>
        <v>96.055225849248544</v>
      </c>
      <c r="I47" t="b">
        <f t="shared" si="1"/>
        <v>1</v>
      </c>
      <c r="J47" s="3">
        <f t="shared" si="2"/>
        <v>1931.180717758431</v>
      </c>
    </row>
    <row r="48" spans="1:10" x14ac:dyDescent="0.25">
      <c r="A48" t="s">
        <v>54</v>
      </c>
      <c r="B48" t="s">
        <v>275</v>
      </c>
      <c r="C48" t="s">
        <v>496</v>
      </c>
      <c r="D48" t="s">
        <v>717</v>
      </c>
      <c r="E48">
        <v>186.5</v>
      </c>
      <c r="F48">
        <v>13.656500283747663</v>
      </c>
      <c r="G48">
        <v>5.206150638770432E-3</v>
      </c>
      <c r="H48" s="3">
        <f t="shared" si="0"/>
        <v>96.313786817252989</v>
      </c>
      <c r="I48" t="b">
        <f t="shared" si="1"/>
        <v>1</v>
      </c>
      <c r="J48" s="3">
        <f t="shared" si="2"/>
        <v>1936.3790601844728</v>
      </c>
    </row>
    <row r="49" spans="1:10" x14ac:dyDescent="0.25">
      <c r="A49" t="s">
        <v>56</v>
      </c>
      <c r="B49" t="s">
        <v>277</v>
      </c>
      <c r="C49" t="s">
        <v>498</v>
      </c>
      <c r="D49" t="s">
        <v>719</v>
      </c>
      <c r="E49">
        <v>195.8</v>
      </c>
      <c r="F49">
        <v>13.992855319769443</v>
      </c>
      <c r="G49">
        <v>5.3343763883588833E-3</v>
      </c>
      <c r="H49" s="3">
        <f t="shared" si="0"/>
        <v>98.685963184639334</v>
      </c>
      <c r="I49" t="b">
        <f t="shared" si="1"/>
        <v>1</v>
      </c>
      <c r="J49" s="3">
        <f t="shared" si="2"/>
        <v>1984.0714290203805</v>
      </c>
    </row>
    <row r="50" spans="1:10" x14ac:dyDescent="0.25">
      <c r="A50" t="s">
        <v>57</v>
      </c>
      <c r="B50" t="s">
        <v>278</v>
      </c>
      <c r="C50" t="s">
        <v>499</v>
      </c>
      <c r="D50" t="s">
        <v>720</v>
      </c>
      <c r="E50">
        <v>48.7</v>
      </c>
      <c r="F50">
        <v>6.9785385289471611</v>
      </c>
      <c r="G50">
        <v>2.6603684740079082E-3</v>
      </c>
      <c r="H50" s="3">
        <f t="shared" si="0"/>
        <v>49.216816769146298</v>
      </c>
      <c r="I50" t="b">
        <f t="shared" si="1"/>
        <v>1</v>
      </c>
      <c r="J50" s="3">
        <f t="shared" si="2"/>
        <v>989.4991833468132</v>
      </c>
    </row>
    <row r="51" spans="1:10" x14ac:dyDescent="0.25">
      <c r="A51" t="s">
        <v>58</v>
      </c>
      <c r="B51" t="s">
        <v>279</v>
      </c>
      <c r="C51" t="s">
        <v>500</v>
      </c>
      <c r="D51" t="s">
        <v>721</v>
      </c>
      <c r="E51">
        <v>170.6</v>
      </c>
      <c r="F51">
        <v>13.061393493804557</v>
      </c>
      <c r="G51">
        <v>4.97928317417659E-3</v>
      </c>
      <c r="H51" s="3">
        <f t="shared" si="0"/>
        <v>92.116738722266916</v>
      </c>
      <c r="I51" t="b">
        <f t="shared" si="1"/>
        <v>1</v>
      </c>
      <c r="J51" s="3">
        <f t="shared" si="2"/>
        <v>1851.9978276083032</v>
      </c>
    </row>
    <row r="52" spans="1:10" x14ac:dyDescent="0.25">
      <c r="A52" t="s">
        <v>59</v>
      </c>
      <c r="B52" t="s">
        <v>280</v>
      </c>
      <c r="C52" t="s">
        <v>501</v>
      </c>
      <c r="D52" t="s">
        <v>722</v>
      </c>
      <c r="E52">
        <v>186.9</v>
      </c>
      <c r="F52">
        <v>13.671137480107499</v>
      </c>
      <c r="G52">
        <v>5.2117306517748801E-3</v>
      </c>
      <c r="H52" s="3">
        <f t="shared" si="0"/>
        <v>96.417017057835281</v>
      </c>
      <c r="I52" t="b">
        <f t="shared" si="1"/>
        <v>1</v>
      </c>
      <c r="J52" s="3">
        <f t="shared" si="2"/>
        <v>1938.4544938565041</v>
      </c>
    </row>
    <row r="53" spans="1:10" x14ac:dyDescent="0.25">
      <c r="A53" t="s">
        <v>60</v>
      </c>
      <c r="B53" t="s">
        <v>281</v>
      </c>
      <c r="C53" t="s">
        <v>502</v>
      </c>
      <c r="D53" t="s">
        <v>723</v>
      </c>
      <c r="E53">
        <v>243.1</v>
      </c>
      <c r="F53">
        <v>15.591664439693409</v>
      </c>
      <c r="G53">
        <v>5.9438766957597439E-3</v>
      </c>
      <c r="H53" s="3">
        <f t="shared" si="0"/>
        <v>109.96171887155526</v>
      </c>
      <c r="I53" t="b">
        <f t="shared" si="1"/>
        <v>1</v>
      </c>
      <c r="J53" s="3">
        <f t="shared" si="2"/>
        <v>2210.7693704202793</v>
      </c>
    </row>
    <row r="54" spans="1:10" x14ac:dyDescent="0.25">
      <c r="A54" t="s">
        <v>61</v>
      </c>
      <c r="B54" t="s">
        <v>282</v>
      </c>
      <c r="C54" t="s">
        <v>503</v>
      </c>
      <c r="D54" t="s">
        <v>724</v>
      </c>
      <c r="E54">
        <v>70</v>
      </c>
      <c r="F54">
        <v>8.3666002653407556</v>
      </c>
      <c r="G54">
        <v>3.1895273613824701E-3</v>
      </c>
      <c r="H54" s="3">
        <f t="shared" si="0"/>
        <v>59.006256185575694</v>
      </c>
      <c r="I54" t="b">
        <f t="shared" si="1"/>
        <v>1</v>
      </c>
      <c r="J54" s="3">
        <f t="shared" si="2"/>
        <v>1186.3148846428892</v>
      </c>
    </row>
    <row r="55" spans="1:10" x14ac:dyDescent="0.25">
      <c r="A55" t="s">
        <v>62</v>
      </c>
      <c r="B55" t="s">
        <v>283</v>
      </c>
      <c r="C55" t="s">
        <v>504</v>
      </c>
      <c r="D55" t="s">
        <v>725</v>
      </c>
      <c r="E55">
        <v>179.5</v>
      </c>
      <c r="F55">
        <v>13.397761006974262</v>
      </c>
      <c r="G55">
        <v>5.1075136803212804E-3</v>
      </c>
      <c r="H55" s="3">
        <f t="shared" si="0"/>
        <v>94.489003085943693</v>
      </c>
      <c r="I55" t="b">
        <f t="shared" si="1"/>
        <v>1</v>
      </c>
      <c r="J55" s="3">
        <f t="shared" si="2"/>
        <v>1899.6919656008376</v>
      </c>
    </row>
    <row r="56" spans="1:10" x14ac:dyDescent="0.25">
      <c r="A56" t="s">
        <v>63</v>
      </c>
      <c r="B56" t="s">
        <v>284</v>
      </c>
      <c r="C56" t="s">
        <v>505</v>
      </c>
      <c r="D56" t="s">
        <v>726</v>
      </c>
      <c r="E56">
        <v>94.6</v>
      </c>
      <c r="F56">
        <v>9.7262531326302621</v>
      </c>
      <c r="G56">
        <v>3.7078561789031178E-3</v>
      </c>
      <c r="H56" s="3">
        <f t="shared" si="0"/>
        <v>68.595339309707683</v>
      </c>
      <c r="I56" t="b">
        <f t="shared" si="1"/>
        <v>1</v>
      </c>
      <c r="J56" s="3">
        <f t="shared" si="2"/>
        <v>1379.10244270214</v>
      </c>
    </row>
    <row r="57" spans="1:10" x14ac:dyDescent="0.25">
      <c r="A57" t="s">
        <v>64</v>
      </c>
      <c r="B57" t="s">
        <v>285</v>
      </c>
      <c r="C57" t="s">
        <v>506</v>
      </c>
      <c r="D57" t="s">
        <v>727</v>
      </c>
      <c r="E57">
        <v>55.4</v>
      </c>
      <c r="F57">
        <v>7.4431176263713583</v>
      </c>
      <c r="G57">
        <v>2.8374759843187883E-3</v>
      </c>
      <c r="H57" s="3">
        <f t="shared" si="0"/>
        <v>52.493305709897584</v>
      </c>
      <c r="I57" t="b">
        <f t="shared" si="1"/>
        <v>1</v>
      </c>
      <c r="J57" s="3">
        <f t="shared" si="2"/>
        <v>1055.3726661103449</v>
      </c>
    </row>
    <row r="58" spans="1:10" x14ac:dyDescent="0.25">
      <c r="A58" t="s">
        <v>65</v>
      </c>
      <c r="B58" t="s">
        <v>286</v>
      </c>
      <c r="C58" t="s">
        <v>507</v>
      </c>
      <c r="D58" t="s">
        <v>728</v>
      </c>
      <c r="E58">
        <v>53.7</v>
      </c>
      <c r="F58">
        <v>7.3280283842245044</v>
      </c>
      <c r="G58">
        <v>2.7936014982448184E-3</v>
      </c>
      <c r="H58" s="3">
        <f t="shared" si="0"/>
        <v>51.681627717529139</v>
      </c>
      <c r="I58" t="b">
        <f t="shared" si="1"/>
        <v>1</v>
      </c>
      <c r="J58" s="3">
        <f t="shared" si="2"/>
        <v>1039.0539611775091</v>
      </c>
    </row>
    <row r="59" spans="1:10" x14ac:dyDescent="0.25">
      <c r="A59" t="s">
        <v>66</v>
      </c>
      <c r="B59" t="s">
        <v>287</v>
      </c>
      <c r="C59" t="s">
        <v>508</v>
      </c>
      <c r="D59" t="s">
        <v>729</v>
      </c>
      <c r="E59">
        <v>80.900000000000006</v>
      </c>
      <c r="F59">
        <v>8.9944427287075435</v>
      </c>
      <c r="G59">
        <v>3.428874366383023E-3</v>
      </c>
      <c r="H59" s="3">
        <f t="shared" si="0"/>
        <v>63.43417577808593</v>
      </c>
      <c r="I59" t="b">
        <f t="shared" si="1"/>
        <v>1</v>
      </c>
      <c r="J59" s="3">
        <f t="shared" si="2"/>
        <v>1275.3377656078546</v>
      </c>
    </row>
    <row r="60" spans="1:10" x14ac:dyDescent="0.25">
      <c r="A60" t="s">
        <v>67</v>
      </c>
      <c r="B60" t="s">
        <v>288</v>
      </c>
      <c r="C60" t="s">
        <v>509</v>
      </c>
      <c r="D60" t="s">
        <v>730</v>
      </c>
      <c r="E60">
        <v>98.4</v>
      </c>
      <c r="F60">
        <v>9.9196774141097954</v>
      </c>
      <c r="G60">
        <v>3.7815936611024768E-3</v>
      </c>
      <c r="H60" s="3">
        <f t="shared" si="0"/>
        <v>69.95948273039582</v>
      </c>
      <c r="I60" t="b">
        <f t="shared" si="1"/>
        <v>1</v>
      </c>
      <c r="J60" s="3">
        <f t="shared" si="2"/>
        <v>1406.5284098684083</v>
      </c>
    </row>
    <row r="61" spans="1:10" x14ac:dyDescent="0.25">
      <c r="A61" t="s">
        <v>68</v>
      </c>
      <c r="B61" t="s">
        <v>289</v>
      </c>
      <c r="C61" t="s">
        <v>510</v>
      </c>
      <c r="D61" t="s">
        <v>731</v>
      </c>
      <c r="E61">
        <v>29.8</v>
      </c>
      <c r="F61">
        <v>5.4589376255824726</v>
      </c>
      <c r="G61">
        <v>2.0810640366079945E-3</v>
      </c>
      <c r="H61" s="3">
        <v>50</v>
      </c>
      <c r="I61" t="b">
        <f t="shared" si="1"/>
        <v>1</v>
      </c>
      <c r="J61" s="3">
        <f t="shared" si="2"/>
        <v>596</v>
      </c>
    </row>
    <row r="62" spans="1:10" x14ac:dyDescent="0.25">
      <c r="A62" t="s">
        <v>70</v>
      </c>
      <c r="B62" t="s">
        <v>291</v>
      </c>
      <c r="C62" t="s">
        <v>512</v>
      </c>
      <c r="D62" t="s">
        <v>733</v>
      </c>
      <c r="E62">
        <v>295.60000000000002</v>
      </c>
      <c r="F62">
        <v>17.193021840269964</v>
      </c>
      <c r="G62">
        <v>6.5543484623684254E-3</v>
      </c>
      <c r="H62" s="3">
        <f t="shared" si="0"/>
        <v>121.25544655381587</v>
      </c>
      <c r="I62" t="b">
        <f t="shared" si="1"/>
        <v>1</v>
      </c>
      <c r="J62" s="3">
        <f t="shared" si="2"/>
        <v>2437.8286369908024</v>
      </c>
    </row>
    <row r="63" spans="1:10" x14ac:dyDescent="0.25">
      <c r="A63" t="s">
        <v>71</v>
      </c>
      <c r="B63" t="s">
        <v>292</v>
      </c>
      <c r="C63" t="s">
        <v>513</v>
      </c>
      <c r="D63" t="s">
        <v>734</v>
      </c>
      <c r="E63">
        <v>147.19999999999999</v>
      </c>
      <c r="F63">
        <v>12.13260071048248</v>
      </c>
      <c r="G63">
        <v>4.6252074562613517E-3</v>
      </c>
      <c r="H63" s="3">
        <f t="shared" si="0"/>
        <v>85.566337940835012</v>
      </c>
      <c r="I63" t="b">
        <f t="shared" si="1"/>
        <v>1</v>
      </c>
      <c r="J63" s="3">
        <f t="shared" si="2"/>
        <v>1720.3026744206545</v>
      </c>
    </row>
    <row r="64" spans="1:10" x14ac:dyDescent="0.25">
      <c r="A64" t="s">
        <v>72</v>
      </c>
      <c r="B64" t="s">
        <v>293</v>
      </c>
      <c r="C64" t="s">
        <v>514</v>
      </c>
      <c r="D64" t="s">
        <v>735</v>
      </c>
      <c r="E64">
        <v>188.7</v>
      </c>
      <c r="F64">
        <v>13.736811857195978</v>
      </c>
      <c r="G64">
        <v>5.2367671320682199E-3</v>
      </c>
      <c r="H64" s="3">
        <f t="shared" si="0"/>
        <v>96.880191943262062</v>
      </c>
      <c r="I64" t="b">
        <f t="shared" si="1"/>
        <v>1</v>
      </c>
      <c r="J64" s="3">
        <f t="shared" si="2"/>
        <v>1947.7665786470805</v>
      </c>
    </row>
    <row r="65" spans="1:10" x14ac:dyDescent="0.25">
      <c r="A65" t="s">
        <v>73</v>
      </c>
      <c r="B65" t="s">
        <v>294</v>
      </c>
      <c r="C65" t="s">
        <v>515</v>
      </c>
      <c r="D65" t="s">
        <v>736</v>
      </c>
      <c r="E65">
        <v>222.2</v>
      </c>
      <c r="F65">
        <v>14.906374475371265</v>
      </c>
      <c r="G65">
        <v>5.6826294719930105E-3</v>
      </c>
      <c r="H65" s="3">
        <f t="shared" si="0"/>
        <v>105.12864523187069</v>
      </c>
      <c r="I65" t="b">
        <f t="shared" si="1"/>
        <v>1</v>
      </c>
      <c r="J65" s="3">
        <f t="shared" si="2"/>
        <v>2113.6009078202983</v>
      </c>
    </row>
    <row r="66" spans="1:10" x14ac:dyDescent="0.25">
      <c r="A66" t="s">
        <v>74</v>
      </c>
      <c r="B66" t="s">
        <v>295</v>
      </c>
      <c r="C66" t="s">
        <v>516</v>
      </c>
      <c r="D66" t="s">
        <v>737</v>
      </c>
      <c r="E66">
        <v>159.5</v>
      </c>
      <c r="F66">
        <v>12.629330940315089</v>
      </c>
      <c r="G66">
        <v>4.8145716674141345E-3</v>
      </c>
      <c r="H66" s="3">
        <f t="shared" si="0"/>
        <v>89.069575847161488</v>
      </c>
      <c r="I66" t="b">
        <f t="shared" si="1"/>
        <v>1</v>
      </c>
      <c r="J66" s="3">
        <f t="shared" si="2"/>
        <v>1790.7349224800762</v>
      </c>
    </row>
    <row r="67" spans="1:10" x14ac:dyDescent="0.25">
      <c r="A67" t="s">
        <v>75</v>
      </c>
      <c r="B67" t="s">
        <v>296</v>
      </c>
      <c r="C67" t="s">
        <v>517</v>
      </c>
      <c r="D67" t="s">
        <v>738</v>
      </c>
      <c r="E67">
        <v>293.10000000000002</v>
      </c>
      <c r="F67">
        <v>17.120163550620656</v>
      </c>
      <c r="G67">
        <v>6.5265733206178794E-3</v>
      </c>
      <c r="H67" s="3">
        <f t="shared" si="0"/>
        <v>120.74160643143077</v>
      </c>
      <c r="I67" t="b">
        <f t="shared" si="1"/>
        <v>1</v>
      </c>
      <c r="J67" s="3">
        <f t="shared" si="2"/>
        <v>2427.4979326737025</v>
      </c>
    </row>
    <row r="68" spans="1:10" x14ac:dyDescent="0.25">
      <c r="A68" t="s">
        <v>76</v>
      </c>
      <c r="B68" t="s">
        <v>297</v>
      </c>
      <c r="C68" t="s">
        <v>518</v>
      </c>
      <c r="D68" t="s">
        <v>739</v>
      </c>
      <c r="E68">
        <v>272.10000000000002</v>
      </c>
      <c r="F68">
        <v>16.495453919186343</v>
      </c>
      <c r="G68">
        <v>6.2884206183030462E-3</v>
      </c>
      <c r="H68" s="3">
        <f t="shared" ref="H68:H131" si="3">18500*G68</f>
        <v>116.33578143860636</v>
      </c>
      <c r="I68" t="b">
        <f t="shared" ref="I68:I131" si="4">H68&gt;49</f>
        <v>1</v>
      </c>
      <c r="J68" s="3">
        <f t="shared" ref="J68:J131" si="5">+E68/H68*1000</f>
        <v>2338.919261427704</v>
      </c>
    </row>
    <row r="69" spans="1:10" x14ac:dyDescent="0.25">
      <c r="A69" t="s">
        <v>77</v>
      </c>
      <c r="B69" t="s">
        <v>298</v>
      </c>
      <c r="C69" t="s">
        <v>519</v>
      </c>
      <c r="D69" t="s">
        <v>740</v>
      </c>
      <c r="E69">
        <v>312.10000000000002</v>
      </c>
      <c r="F69">
        <v>17.66635219845908</v>
      </c>
      <c r="G69">
        <v>6.7347921408684244E-3</v>
      </c>
      <c r="H69" s="3">
        <f t="shared" si="3"/>
        <v>124.59365460606585</v>
      </c>
      <c r="I69" t="b">
        <f t="shared" si="4"/>
        <v>1</v>
      </c>
      <c r="J69" s="3">
        <f t="shared" si="5"/>
        <v>2504.9429763239755</v>
      </c>
    </row>
    <row r="70" spans="1:10" x14ac:dyDescent="0.25">
      <c r="A70" t="s">
        <v>78</v>
      </c>
      <c r="B70" t="s">
        <v>299</v>
      </c>
      <c r="C70" t="s">
        <v>520</v>
      </c>
      <c r="D70" t="s">
        <v>741</v>
      </c>
      <c r="E70">
        <v>282</v>
      </c>
      <c r="F70">
        <v>16.792855623746664</v>
      </c>
      <c r="G70">
        <v>6.4017965229636832E-3</v>
      </c>
      <c r="H70" s="3">
        <f t="shared" si="3"/>
        <v>118.43323567482814</v>
      </c>
      <c r="I70" t="b">
        <f t="shared" si="4"/>
        <v>1</v>
      </c>
      <c r="J70" s="3">
        <f t="shared" si="5"/>
        <v>2381.0883692670773</v>
      </c>
    </row>
    <row r="71" spans="1:10" x14ac:dyDescent="0.25">
      <c r="A71" t="s">
        <v>79</v>
      </c>
      <c r="B71" t="s">
        <v>300</v>
      </c>
      <c r="C71" t="s">
        <v>521</v>
      </c>
      <c r="D71" t="s">
        <v>742</v>
      </c>
      <c r="E71">
        <v>129.6</v>
      </c>
      <c r="F71">
        <v>11.384199576606166</v>
      </c>
      <c r="G71">
        <v>4.3399009018563715E-3</v>
      </c>
      <c r="H71" s="3">
        <f t="shared" si="3"/>
        <v>80.288166684342869</v>
      </c>
      <c r="I71" t="b">
        <f t="shared" si="4"/>
        <v>1</v>
      </c>
      <c r="J71" s="3">
        <f t="shared" si="5"/>
        <v>1614.1855687093862</v>
      </c>
    </row>
    <row r="72" spans="1:10" x14ac:dyDescent="0.25">
      <c r="A72" t="s">
        <v>80</v>
      </c>
      <c r="B72" t="s">
        <v>301</v>
      </c>
      <c r="C72" t="s">
        <v>522</v>
      </c>
      <c r="D72" t="s">
        <v>743</v>
      </c>
      <c r="E72">
        <v>93.4</v>
      </c>
      <c r="F72">
        <v>9.6643675426796563</v>
      </c>
      <c r="G72">
        <v>3.6842640654803651E-3</v>
      </c>
      <c r="H72" s="3">
        <f t="shared" si="3"/>
        <v>68.15888521138676</v>
      </c>
      <c r="I72" t="b">
        <f t="shared" si="4"/>
        <v>1</v>
      </c>
      <c r="J72" s="3">
        <f t="shared" si="5"/>
        <v>1370.3275766663567</v>
      </c>
    </row>
    <row r="73" spans="1:10" x14ac:dyDescent="0.25">
      <c r="A73" t="s">
        <v>81</v>
      </c>
      <c r="B73" t="s">
        <v>302</v>
      </c>
      <c r="C73" t="s">
        <v>523</v>
      </c>
      <c r="D73" t="s">
        <v>744</v>
      </c>
      <c r="E73">
        <v>166.6</v>
      </c>
      <c r="F73">
        <v>12.907362240210041</v>
      </c>
      <c r="G73">
        <v>4.9205631586067122E-3</v>
      </c>
      <c r="H73" s="3">
        <f t="shared" si="3"/>
        <v>91.030418434224174</v>
      </c>
      <c r="I73" t="b">
        <f t="shared" si="4"/>
        <v>1</v>
      </c>
      <c r="J73" s="3">
        <f t="shared" si="5"/>
        <v>1830.1574667634877</v>
      </c>
    </row>
    <row r="74" spans="1:10" x14ac:dyDescent="0.25">
      <c r="A74" t="s">
        <v>82</v>
      </c>
      <c r="B74" t="s">
        <v>303</v>
      </c>
      <c r="C74" t="s">
        <v>524</v>
      </c>
      <c r="D74" t="s">
        <v>745</v>
      </c>
      <c r="E74">
        <v>213</v>
      </c>
      <c r="F74">
        <v>14.594519519326424</v>
      </c>
      <c r="G74">
        <v>5.5637436780573007E-3</v>
      </c>
      <c r="H74" s="3">
        <f t="shared" si="3"/>
        <v>102.92925804406006</v>
      </c>
      <c r="I74" t="b">
        <f t="shared" si="4"/>
        <v>1</v>
      </c>
      <c r="J74" s="3">
        <f t="shared" si="5"/>
        <v>2069.3824481744819</v>
      </c>
    </row>
    <row r="75" spans="1:10" x14ac:dyDescent="0.25">
      <c r="A75" t="s">
        <v>83</v>
      </c>
      <c r="B75" t="s">
        <v>304</v>
      </c>
      <c r="C75" t="s">
        <v>525</v>
      </c>
      <c r="D75" t="s">
        <v>746</v>
      </c>
      <c r="E75">
        <v>267.89999999999998</v>
      </c>
      <c r="F75">
        <v>16.367651022672739</v>
      </c>
      <c r="G75">
        <v>6.2396994146640111E-3</v>
      </c>
      <c r="H75" s="3">
        <f t="shared" si="3"/>
        <v>115.43443917128421</v>
      </c>
      <c r="I75" t="b">
        <f t="shared" si="4"/>
        <v>1</v>
      </c>
      <c r="J75" s="3">
        <f t="shared" si="5"/>
        <v>2320.7978652062748</v>
      </c>
    </row>
    <row r="76" spans="1:10" x14ac:dyDescent="0.25">
      <c r="A76" t="s">
        <v>84</v>
      </c>
      <c r="B76" t="s">
        <v>305</v>
      </c>
      <c r="C76" t="s">
        <v>526</v>
      </c>
      <c r="D76" t="s">
        <v>747</v>
      </c>
      <c r="E76">
        <v>235.1</v>
      </c>
      <c r="F76">
        <v>15.332971010211947</v>
      </c>
      <c r="G76">
        <v>5.8452572152810287E-3</v>
      </c>
      <c r="H76" s="3">
        <f t="shared" si="3"/>
        <v>108.13725848269902</v>
      </c>
      <c r="I76" t="b">
        <f t="shared" si="4"/>
        <v>1</v>
      </c>
      <c r="J76" s="3">
        <f t="shared" si="5"/>
        <v>2174.0887766043547</v>
      </c>
    </row>
    <row r="77" spans="1:10" x14ac:dyDescent="0.25">
      <c r="A77" t="s">
        <v>85</v>
      </c>
      <c r="B77" t="s">
        <v>306</v>
      </c>
      <c r="C77" t="s">
        <v>527</v>
      </c>
      <c r="D77" t="s">
        <v>748</v>
      </c>
      <c r="E77">
        <v>282.5</v>
      </c>
      <c r="F77">
        <v>16.80773631397161</v>
      </c>
      <c r="G77">
        <v>6.4074693610488651E-3</v>
      </c>
      <c r="H77" s="3">
        <f t="shared" si="3"/>
        <v>118.538183179404</v>
      </c>
      <c r="I77" t="b">
        <f t="shared" si="4"/>
        <v>1</v>
      </c>
      <c r="J77" s="3">
        <f t="shared" si="5"/>
        <v>2383.1983283601089</v>
      </c>
    </row>
    <row r="78" spans="1:10" x14ac:dyDescent="0.25">
      <c r="A78" t="s">
        <v>87</v>
      </c>
      <c r="B78" t="s">
        <v>308</v>
      </c>
      <c r="C78" t="s">
        <v>529</v>
      </c>
      <c r="D78" t="s">
        <v>750</v>
      </c>
      <c r="E78">
        <v>161.30000000000001</v>
      </c>
      <c r="F78">
        <v>12.700393694685216</v>
      </c>
      <c r="G78">
        <v>4.8416623126284943E-3</v>
      </c>
      <c r="H78" s="3">
        <f t="shared" si="3"/>
        <v>89.570752783627142</v>
      </c>
      <c r="I78" t="b">
        <f t="shared" si="4"/>
        <v>1</v>
      </c>
      <c r="J78" s="3">
        <f t="shared" si="5"/>
        <v>1800.8110347095846</v>
      </c>
    </row>
    <row r="79" spans="1:10" x14ac:dyDescent="0.25">
      <c r="A79" t="s">
        <v>88</v>
      </c>
      <c r="B79" t="s">
        <v>309</v>
      </c>
      <c r="C79" t="s">
        <v>530</v>
      </c>
      <c r="D79" t="s">
        <v>751</v>
      </c>
      <c r="E79">
        <v>88.4</v>
      </c>
      <c r="F79">
        <v>9.4021274188345263</v>
      </c>
      <c r="G79">
        <v>3.5842925090859108E-3</v>
      </c>
      <c r="H79" s="3">
        <f t="shared" si="3"/>
        <v>66.309411418089354</v>
      </c>
      <c r="I79" t="b">
        <f t="shared" si="4"/>
        <v>1</v>
      </c>
      <c r="J79" s="3">
        <f t="shared" si="5"/>
        <v>1333.1440908535087</v>
      </c>
    </row>
    <row r="80" spans="1:10" x14ac:dyDescent="0.25">
      <c r="A80" t="s">
        <v>89</v>
      </c>
      <c r="B80" t="s">
        <v>310</v>
      </c>
      <c r="C80" t="s">
        <v>531</v>
      </c>
      <c r="D80" t="s">
        <v>752</v>
      </c>
      <c r="E80">
        <v>9.1999999999999993</v>
      </c>
      <c r="F80">
        <v>3.03315017762062</v>
      </c>
      <c r="G80">
        <v>1.1563018640653379E-3</v>
      </c>
      <c r="H80" s="3">
        <v>50</v>
      </c>
      <c r="I80" t="b">
        <f t="shared" si="4"/>
        <v>1</v>
      </c>
      <c r="J80" s="3">
        <f t="shared" si="5"/>
        <v>184</v>
      </c>
    </row>
    <row r="81" spans="1:10" x14ac:dyDescent="0.25">
      <c r="A81" t="s">
        <v>90</v>
      </c>
      <c r="B81" t="s">
        <v>311</v>
      </c>
      <c r="C81" t="s">
        <v>532</v>
      </c>
      <c r="D81" t="s">
        <v>753</v>
      </c>
      <c r="E81">
        <v>37.4</v>
      </c>
      <c r="F81">
        <v>6.1155539405682617</v>
      </c>
      <c r="G81">
        <v>2.3313802506206415E-3</v>
      </c>
      <c r="H81" s="3">
        <v>50</v>
      </c>
      <c r="I81" t="b">
        <f t="shared" si="4"/>
        <v>1</v>
      </c>
      <c r="J81" s="3">
        <f t="shared" si="5"/>
        <v>748</v>
      </c>
    </row>
    <row r="82" spans="1:10" x14ac:dyDescent="0.25">
      <c r="A82" t="s">
        <v>91</v>
      </c>
      <c r="B82" t="s">
        <v>312</v>
      </c>
      <c r="C82" t="s">
        <v>533</v>
      </c>
      <c r="D82" t="s">
        <v>754</v>
      </c>
      <c r="E82">
        <v>161.80000000000001</v>
      </c>
      <c r="F82">
        <v>12.720062892926277</v>
      </c>
      <c r="G82">
        <v>4.8491606326123244E-3</v>
      </c>
      <c r="H82" s="3">
        <f t="shared" si="3"/>
        <v>89.709471703328006</v>
      </c>
      <c r="I82" t="b">
        <f t="shared" si="4"/>
        <v>1</v>
      </c>
      <c r="J82" s="3">
        <f t="shared" si="5"/>
        <v>1803.5999647292274</v>
      </c>
    </row>
    <row r="83" spans="1:10" x14ac:dyDescent="0.25">
      <c r="A83" t="s">
        <v>92</v>
      </c>
      <c r="B83" t="s">
        <v>313</v>
      </c>
      <c r="C83" t="s">
        <v>534</v>
      </c>
      <c r="D83" t="s">
        <v>755</v>
      </c>
      <c r="E83">
        <v>120.8</v>
      </c>
      <c r="F83">
        <v>10.990905331227269</v>
      </c>
      <c r="G83">
        <v>4.1899687051543486E-3</v>
      </c>
      <c r="H83" s="3">
        <f t="shared" si="3"/>
        <v>77.514421045355448</v>
      </c>
      <c r="I83" t="b">
        <f t="shared" si="4"/>
        <v>1</v>
      </c>
      <c r="J83" s="3">
        <f t="shared" si="5"/>
        <v>1558.4196897931699</v>
      </c>
    </row>
    <row r="84" spans="1:10" x14ac:dyDescent="0.25">
      <c r="A84" t="s">
        <v>93</v>
      </c>
      <c r="B84" t="s">
        <v>314</v>
      </c>
      <c r="C84" t="s">
        <v>535</v>
      </c>
      <c r="D84" t="s">
        <v>756</v>
      </c>
      <c r="E84">
        <v>138.80000000000001</v>
      </c>
      <c r="F84">
        <v>11.781341180018513</v>
      </c>
      <c r="G84">
        <v>4.4912997939098569E-3</v>
      </c>
      <c r="H84" s="3">
        <f t="shared" si="3"/>
        <v>83.089046187332357</v>
      </c>
      <c r="I84" t="b">
        <f t="shared" si="4"/>
        <v>1</v>
      </c>
      <c r="J84" s="3">
        <f t="shared" si="5"/>
        <v>1670.4969712501197</v>
      </c>
    </row>
    <row r="85" spans="1:10" x14ac:dyDescent="0.25">
      <c r="A85" t="s">
        <v>94</v>
      </c>
      <c r="B85" t="s">
        <v>315</v>
      </c>
      <c r="C85" t="s">
        <v>536</v>
      </c>
      <c r="D85" t="s">
        <v>757</v>
      </c>
      <c r="E85">
        <v>89.6</v>
      </c>
      <c r="F85">
        <v>9.4657276529593855</v>
      </c>
      <c r="G85">
        <v>3.6085382816217291E-3</v>
      </c>
      <c r="H85" s="3">
        <f t="shared" si="3"/>
        <v>66.757958210001988</v>
      </c>
      <c r="I85" t="b">
        <f t="shared" si="4"/>
        <v>1</v>
      </c>
      <c r="J85" s="3">
        <f t="shared" si="5"/>
        <v>1342.1620792856379</v>
      </c>
    </row>
    <row r="86" spans="1:10" x14ac:dyDescent="0.25">
      <c r="A86" t="s">
        <v>95</v>
      </c>
      <c r="B86" t="s">
        <v>316</v>
      </c>
      <c r="C86" t="s">
        <v>537</v>
      </c>
      <c r="D86" t="s">
        <v>758</v>
      </c>
      <c r="E86">
        <v>15.5</v>
      </c>
      <c r="F86">
        <v>3.9370039370059056</v>
      </c>
      <c r="G86">
        <v>1.5008702914814603E-3</v>
      </c>
      <c r="H86" s="3">
        <v>50</v>
      </c>
      <c r="I86" t="b">
        <f t="shared" si="4"/>
        <v>1</v>
      </c>
      <c r="J86" s="3">
        <f t="shared" si="5"/>
        <v>310</v>
      </c>
    </row>
    <row r="87" spans="1:10" x14ac:dyDescent="0.25">
      <c r="A87" t="s">
        <v>96</v>
      </c>
      <c r="B87" t="s">
        <v>317</v>
      </c>
      <c r="C87" t="s">
        <v>538</v>
      </c>
      <c r="D87" t="s">
        <v>759</v>
      </c>
      <c r="E87">
        <v>39.299999999999997</v>
      </c>
      <c r="F87">
        <v>6.2689712074629913</v>
      </c>
      <c r="G87">
        <v>2.3898662012995973E-3</v>
      </c>
      <c r="H87" s="3">
        <v>50</v>
      </c>
      <c r="I87" t="b">
        <f t="shared" si="4"/>
        <v>1</v>
      </c>
      <c r="J87" s="3">
        <f t="shared" si="5"/>
        <v>785.99999999999989</v>
      </c>
    </row>
    <row r="88" spans="1:10" x14ac:dyDescent="0.25">
      <c r="A88" t="s">
        <v>97</v>
      </c>
      <c r="B88" t="s">
        <v>318</v>
      </c>
      <c r="C88" t="s">
        <v>539</v>
      </c>
      <c r="D88" t="s">
        <v>760</v>
      </c>
      <c r="E88">
        <v>213.2</v>
      </c>
      <c r="F88">
        <v>14.601369798755183</v>
      </c>
      <c r="G88">
        <v>5.5663551514130508E-3</v>
      </c>
      <c r="H88" s="3">
        <f t="shared" si="3"/>
        <v>102.97757030114144</v>
      </c>
      <c r="I88" t="b">
        <f t="shared" si="4"/>
        <v>1</v>
      </c>
      <c r="J88" s="3">
        <f t="shared" si="5"/>
        <v>2070.3537612756904</v>
      </c>
    </row>
    <row r="89" spans="1:10" x14ac:dyDescent="0.25">
      <c r="A89" t="s">
        <v>99</v>
      </c>
      <c r="B89" t="s">
        <v>320</v>
      </c>
      <c r="C89" t="s">
        <v>541</v>
      </c>
      <c r="D89" t="s">
        <v>762</v>
      </c>
      <c r="E89">
        <v>696.5</v>
      </c>
      <c r="F89">
        <v>26.391286440793294</v>
      </c>
      <c r="G89">
        <v>1.0060924095262018E-2</v>
      </c>
      <c r="H89" s="3">
        <f t="shared" si="3"/>
        <v>186.12709576234732</v>
      </c>
      <c r="I89" t="b">
        <f t="shared" si="4"/>
        <v>1</v>
      </c>
      <c r="J89" s="3">
        <f t="shared" si="5"/>
        <v>3742.0666622838844</v>
      </c>
    </row>
    <row r="90" spans="1:10" x14ac:dyDescent="0.25">
      <c r="A90" t="s">
        <v>100</v>
      </c>
      <c r="B90" t="s">
        <v>321</v>
      </c>
      <c r="C90" t="s">
        <v>542</v>
      </c>
      <c r="D90" t="s">
        <v>763</v>
      </c>
      <c r="E90">
        <v>136.9</v>
      </c>
      <c r="F90">
        <v>11.700427342623003</v>
      </c>
      <c r="G90">
        <v>4.4604537046857148E-3</v>
      </c>
      <c r="H90" s="3">
        <f t="shared" si="3"/>
        <v>82.518393536685721</v>
      </c>
      <c r="I90" t="b">
        <f t="shared" si="4"/>
        <v>1</v>
      </c>
      <c r="J90" s="3">
        <f t="shared" si="5"/>
        <v>1659.0240567290916</v>
      </c>
    </row>
    <row r="91" spans="1:10" x14ac:dyDescent="0.25">
      <c r="A91" t="s">
        <v>101</v>
      </c>
      <c r="B91" t="s">
        <v>322</v>
      </c>
      <c r="C91" t="s">
        <v>543</v>
      </c>
      <c r="D91" t="s">
        <v>764</v>
      </c>
      <c r="E91">
        <v>227.9</v>
      </c>
      <c r="F91">
        <v>15.096357176484664</v>
      </c>
      <c r="G91">
        <v>5.7550549499856361E-3</v>
      </c>
      <c r="H91" s="3">
        <f t="shared" si="3"/>
        <v>106.46851657473427</v>
      </c>
      <c r="I91" t="b">
        <f t="shared" si="4"/>
        <v>1</v>
      </c>
      <c r="J91" s="3">
        <f t="shared" si="5"/>
        <v>2140.5388872871954</v>
      </c>
    </row>
    <row r="92" spans="1:10" x14ac:dyDescent="0.25">
      <c r="A92" t="s">
        <v>102</v>
      </c>
      <c r="B92" t="s">
        <v>323</v>
      </c>
      <c r="C92" t="s">
        <v>544</v>
      </c>
      <c r="D92" t="s">
        <v>765</v>
      </c>
      <c r="E92">
        <v>192.7</v>
      </c>
      <c r="F92">
        <v>13.881642554107204</v>
      </c>
      <c r="G92">
        <v>5.2919796982141224E-3</v>
      </c>
      <c r="H92" s="3">
        <f t="shared" si="3"/>
        <v>97.901624416961269</v>
      </c>
      <c r="I92" t="b">
        <f t="shared" si="4"/>
        <v>1</v>
      </c>
      <c r="J92" s="3">
        <f t="shared" si="5"/>
        <v>1968.3023764681793</v>
      </c>
    </row>
    <row r="93" spans="1:10" x14ac:dyDescent="0.25">
      <c r="A93" t="s">
        <v>103</v>
      </c>
      <c r="B93" t="s">
        <v>324</v>
      </c>
      <c r="C93" t="s">
        <v>545</v>
      </c>
      <c r="D93" t="s">
        <v>766</v>
      </c>
      <c r="E93">
        <v>175.8</v>
      </c>
      <c r="F93">
        <v>13.258959235173778</v>
      </c>
      <c r="G93">
        <v>5.0545994696591587E-3</v>
      </c>
      <c r="H93" s="3">
        <f t="shared" si="3"/>
        <v>93.510090188694434</v>
      </c>
      <c r="I93" t="b">
        <f t="shared" si="4"/>
        <v>1</v>
      </c>
      <c r="J93" s="3">
        <f t="shared" si="5"/>
        <v>1880.0110196156627</v>
      </c>
    </row>
    <row r="94" spans="1:10" x14ac:dyDescent="0.25">
      <c r="A94" t="s">
        <v>104</v>
      </c>
      <c r="B94" t="s">
        <v>325</v>
      </c>
      <c r="C94" t="s">
        <v>546</v>
      </c>
      <c r="D94" t="s">
        <v>767</v>
      </c>
      <c r="E94">
        <v>235.7</v>
      </c>
      <c r="F94">
        <v>15.352524222420234</v>
      </c>
      <c r="G94">
        <v>5.8527113189029744E-3</v>
      </c>
      <c r="H94" s="3">
        <f t="shared" si="3"/>
        <v>108.27515939970503</v>
      </c>
      <c r="I94" t="b">
        <f t="shared" si="4"/>
        <v>1</v>
      </c>
      <c r="J94" s="3">
        <f t="shared" si="5"/>
        <v>2176.8612607615528</v>
      </c>
    </row>
    <row r="95" spans="1:10" x14ac:dyDescent="0.25">
      <c r="A95" t="s">
        <v>105</v>
      </c>
      <c r="B95" t="s">
        <v>326</v>
      </c>
      <c r="C95" t="s">
        <v>547</v>
      </c>
      <c r="D95" t="s">
        <v>768</v>
      </c>
      <c r="E95">
        <v>245.2</v>
      </c>
      <c r="F95">
        <v>15.658863304850707</v>
      </c>
      <c r="G95">
        <v>5.9694943435827123E-3</v>
      </c>
      <c r="H95" s="3">
        <f t="shared" si="3"/>
        <v>110.43564535628018</v>
      </c>
      <c r="I95" t="b">
        <f t="shared" si="4"/>
        <v>1</v>
      </c>
      <c r="J95" s="3">
        <f t="shared" si="5"/>
        <v>2220.2976150404334</v>
      </c>
    </row>
    <row r="96" spans="1:10" x14ac:dyDescent="0.25">
      <c r="A96" t="s">
        <v>106</v>
      </c>
      <c r="B96" t="s">
        <v>327</v>
      </c>
      <c r="C96" t="s">
        <v>548</v>
      </c>
      <c r="D96" t="s">
        <v>769</v>
      </c>
      <c r="E96">
        <v>232.4</v>
      </c>
      <c r="F96">
        <v>15.244671200127604</v>
      </c>
      <c r="G96">
        <v>5.8115954349476744E-3</v>
      </c>
      <c r="H96" s="3">
        <f t="shared" si="3"/>
        <v>107.51451554653198</v>
      </c>
      <c r="I96" t="b">
        <f t="shared" si="4"/>
        <v>1</v>
      </c>
      <c r="J96" s="3">
        <f t="shared" si="5"/>
        <v>2161.5685920978544</v>
      </c>
    </row>
    <row r="97" spans="1:10" x14ac:dyDescent="0.25">
      <c r="A97" t="s">
        <v>107</v>
      </c>
      <c r="B97" t="s">
        <v>328</v>
      </c>
      <c r="C97" t="s">
        <v>549</v>
      </c>
      <c r="D97" t="s">
        <v>770</v>
      </c>
      <c r="E97">
        <v>185.4</v>
      </c>
      <c r="F97">
        <v>13.61616686149226</v>
      </c>
      <c r="G97">
        <v>5.1907746736493642E-3</v>
      </c>
      <c r="H97" s="3">
        <f t="shared" si="3"/>
        <v>96.029331462513241</v>
      </c>
      <c r="I97" t="b">
        <f t="shared" si="4"/>
        <v>1</v>
      </c>
      <c r="J97" s="3">
        <f t="shared" si="5"/>
        <v>1930.6601137005123</v>
      </c>
    </row>
    <row r="98" spans="1:10" x14ac:dyDescent="0.25">
      <c r="A98" t="s">
        <v>108</v>
      </c>
      <c r="B98" t="s">
        <v>329</v>
      </c>
      <c r="C98" t="s">
        <v>550</v>
      </c>
      <c r="D98" t="s">
        <v>771</v>
      </c>
      <c r="E98">
        <v>214.9</v>
      </c>
      <c r="F98">
        <v>14.659467930317254</v>
      </c>
      <c r="G98">
        <v>5.5885034045129465E-3</v>
      </c>
      <c r="H98" s="3">
        <f t="shared" si="3"/>
        <v>103.38731298348951</v>
      </c>
      <c r="I98" t="b">
        <f t="shared" si="4"/>
        <v>1</v>
      </c>
      <c r="J98" s="3">
        <f t="shared" si="5"/>
        <v>2078.591596962372</v>
      </c>
    </row>
    <row r="99" spans="1:10" x14ac:dyDescent="0.25">
      <c r="A99" t="s">
        <v>109</v>
      </c>
      <c r="B99" t="s">
        <v>330</v>
      </c>
      <c r="C99" t="s">
        <v>551</v>
      </c>
      <c r="D99" t="s">
        <v>772</v>
      </c>
      <c r="E99">
        <v>285.60000000000002</v>
      </c>
      <c r="F99">
        <v>16.899704139422088</v>
      </c>
      <c r="G99">
        <v>6.4425294674646458E-3</v>
      </c>
      <c r="H99" s="3">
        <f t="shared" si="3"/>
        <v>119.18679514809595</v>
      </c>
      <c r="I99" t="b">
        <f t="shared" si="4"/>
        <v>1</v>
      </c>
      <c r="J99" s="3">
        <f t="shared" si="5"/>
        <v>2396.2386071806595</v>
      </c>
    </row>
    <row r="100" spans="1:10" x14ac:dyDescent="0.25">
      <c r="A100" t="s">
        <v>110</v>
      </c>
      <c r="B100" t="s">
        <v>331</v>
      </c>
      <c r="C100" t="s">
        <v>552</v>
      </c>
      <c r="D100" t="s">
        <v>773</v>
      </c>
      <c r="E100">
        <v>237.1</v>
      </c>
      <c r="F100">
        <v>15.398051824825114</v>
      </c>
      <c r="G100">
        <v>5.8700674168356143E-3</v>
      </c>
      <c r="H100" s="3">
        <f t="shared" si="3"/>
        <v>108.59624721145886</v>
      </c>
      <c r="I100" t="b">
        <f t="shared" si="4"/>
        <v>1</v>
      </c>
      <c r="J100" s="3">
        <f t="shared" si="5"/>
        <v>2183.3166991334274</v>
      </c>
    </row>
    <row r="101" spans="1:10" x14ac:dyDescent="0.25">
      <c r="A101" t="s">
        <v>112</v>
      </c>
      <c r="B101" t="s">
        <v>333</v>
      </c>
      <c r="C101" t="s">
        <v>554</v>
      </c>
      <c r="D101" t="s">
        <v>775</v>
      </c>
      <c r="E101">
        <v>585.20000000000005</v>
      </c>
      <c r="F101">
        <v>24.190907382733705</v>
      </c>
      <c r="G101">
        <v>9.2220924326370784E-3</v>
      </c>
      <c r="H101" s="3">
        <f t="shared" si="3"/>
        <v>170.60871000378594</v>
      </c>
      <c r="I101" t="b">
        <f t="shared" si="4"/>
        <v>1</v>
      </c>
      <c r="J101" s="3">
        <f t="shared" si="5"/>
        <v>3430.0710672216792</v>
      </c>
    </row>
    <row r="102" spans="1:10" x14ac:dyDescent="0.25">
      <c r="A102" t="s">
        <v>113</v>
      </c>
      <c r="B102" t="s">
        <v>334</v>
      </c>
      <c r="C102" t="s">
        <v>555</v>
      </c>
      <c r="D102" t="s">
        <v>776</v>
      </c>
      <c r="E102">
        <v>94.9</v>
      </c>
      <c r="F102">
        <v>9.7416631023660436</v>
      </c>
      <c r="G102">
        <v>3.7137307896830734E-3</v>
      </c>
      <c r="H102" s="3">
        <f t="shared" si="3"/>
        <v>68.704019609136864</v>
      </c>
      <c r="I102" t="b">
        <f t="shared" si="4"/>
        <v>1</v>
      </c>
      <c r="J102" s="3">
        <f t="shared" si="5"/>
        <v>1381.287449262712</v>
      </c>
    </row>
    <row r="103" spans="1:10" x14ac:dyDescent="0.25">
      <c r="A103" t="s">
        <v>114</v>
      </c>
      <c r="B103" t="s">
        <v>335</v>
      </c>
      <c r="C103" t="s">
        <v>556</v>
      </c>
      <c r="D103" t="s">
        <v>777</v>
      </c>
      <c r="E103">
        <v>173.2</v>
      </c>
      <c r="F103">
        <v>13.16054710108968</v>
      </c>
      <c r="G103">
        <v>5.0170826546568235E-3</v>
      </c>
      <c r="H103" s="3">
        <f t="shared" si="3"/>
        <v>92.816029111151238</v>
      </c>
      <c r="I103" t="b">
        <f t="shared" si="4"/>
        <v>1</v>
      </c>
      <c r="J103" s="3">
        <f t="shared" si="5"/>
        <v>1866.0569910029812</v>
      </c>
    </row>
    <row r="104" spans="1:10" x14ac:dyDescent="0.25">
      <c r="A104" t="s">
        <v>115</v>
      </c>
      <c r="B104" t="s">
        <v>336</v>
      </c>
      <c r="C104" t="s">
        <v>557</v>
      </c>
      <c r="D104" t="s">
        <v>778</v>
      </c>
      <c r="E104">
        <v>202</v>
      </c>
      <c r="F104">
        <v>14.212670403551895</v>
      </c>
      <c r="G104">
        <v>5.4181746100897691E-3</v>
      </c>
      <c r="H104" s="3">
        <f t="shared" si="3"/>
        <v>100.23623028666073</v>
      </c>
      <c r="I104" t="b">
        <f t="shared" si="4"/>
        <v>1</v>
      </c>
      <c r="J104" s="3">
        <f t="shared" si="5"/>
        <v>2015.2393942021765</v>
      </c>
    </row>
    <row r="105" spans="1:10" x14ac:dyDescent="0.25">
      <c r="A105" t="s">
        <v>116</v>
      </c>
      <c r="B105" t="s">
        <v>337</v>
      </c>
      <c r="C105" t="s">
        <v>558</v>
      </c>
      <c r="D105" t="s">
        <v>779</v>
      </c>
      <c r="E105">
        <v>189.5</v>
      </c>
      <c r="F105">
        <v>13.765899897936205</v>
      </c>
      <c r="G105">
        <v>5.2478561167080499E-3</v>
      </c>
      <c r="H105" s="3">
        <f t="shared" si="3"/>
        <v>97.085338159098924</v>
      </c>
      <c r="I105" t="b">
        <f t="shared" si="4"/>
        <v>1</v>
      </c>
      <c r="J105" s="3">
        <f t="shared" si="5"/>
        <v>1951.8910228180514</v>
      </c>
    </row>
    <row r="106" spans="1:10" x14ac:dyDescent="0.25">
      <c r="A106" t="s">
        <v>117</v>
      </c>
      <c r="B106" t="s">
        <v>338</v>
      </c>
      <c r="C106" t="s">
        <v>559</v>
      </c>
      <c r="D106" t="s">
        <v>780</v>
      </c>
      <c r="E106">
        <v>275.89999999999998</v>
      </c>
      <c r="F106">
        <v>16.610237806846715</v>
      </c>
      <c r="G106">
        <v>6.332178696701417E-3</v>
      </c>
      <c r="H106" s="3">
        <f t="shared" si="3"/>
        <v>117.14530588897621</v>
      </c>
      <c r="I106" t="b">
        <f t="shared" si="4"/>
        <v>1</v>
      </c>
      <c r="J106" s="3">
        <f t="shared" si="5"/>
        <v>2355.1946696138434</v>
      </c>
    </row>
    <row r="107" spans="1:10" x14ac:dyDescent="0.25">
      <c r="A107" t="s">
        <v>118</v>
      </c>
      <c r="B107" t="s">
        <v>339</v>
      </c>
      <c r="C107" t="s">
        <v>560</v>
      </c>
      <c r="D107" t="s">
        <v>781</v>
      </c>
      <c r="E107">
        <v>293.8</v>
      </c>
      <c r="F107">
        <v>17.140595088852663</v>
      </c>
      <c r="G107">
        <v>6.5343622609472119E-3</v>
      </c>
      <c r="H107" s="3">
        <f t="shared" si="3"/>
        <v>120.88570182752342</v>
      </c>
      <c r="I107" t="b">
        <f t="shared" si="4"/>
        <v>1</v>
      </c>
      <c r="J107" s="3">
        <f t="shared" si="5"/>
        <v>2430.3949562139796</v>
      </c>
    </row>
    <row r="108" spans="1:10" x14ac:dyDescent="0.25">
      <c r="A108" t="s">
        <v>119</v>
      </c>
      <c r="B108" t="s">
        <v>340</v>
      </c>
      <c r="C108" t="s">
        <v>561</v>
      </c>
      <c r="D108" t="s">
        <v>782</v>
      </c>
      <c r="E108">
        <v>141.9</v>
      </c>
      <c r="F108">
        <v>11.912178642045291</v>
      </c>
      <c r="G108">
        <v>4.5411778389692079E-3</v>
      </c>
      <c r="H108" s="3">
        <f t="shared" si="3"/>
        <v>84.011790020930349</v>
      </c>
      <c r="I108" t="b">
        <f t="shared" si="4"/>
        <v>1</v>
      </c>
      <c r="J108" s="3">
        <f t="shared" si="5"/>
        <v>1689.0486438230589</v>
      </c>
    </row>
    <row r="109" spans="1:10" x14ac:dyDescent="0.25">
      <c r="A109" t="s">
        <v>120</v>
      </c>
      <c r="B109" t="s">
        <v>341</v>
      </c>
      <c r="C109" t="s">
        <v>562</v>
      </c>
      <c r="D109" t="s">
        <v>783</v>
      </c>
      <c r="E109">
        <v>227.4</v>
      </c>
      <c r="F109">
        <v>15.079787796915447</v>
      </c>
      <c r="G109">
        <v>5.7487383473249255E-3</v>
      </c>
      <c r="H109" s="3">
        <f t="shared" si="3"/>
        <v>106.35165942551112</v>
      </c>
      <c r="I109" t="b">
        <f t="shared" si="4"/>
        <v>1</v>
      </c>
      <c r="J109" s="3">
        <f t="shared" si="5"/>
        <v>2138.1894859785552</v>
      </c>
    </row>
    <row r="110" spans="1:10" x14ac:dyDescent="0.25">
      <c r="A110" t="s">
        <v>121</v>
      </c>
      <c r="B110" t="s">
        <v>342</v>
      </c>
      <c r="C110" t="s">
        <v>563</v>
      </c>
      <c r="D110" t="s">
        <v>784</v>
      </c>
      <c r="E110">
        <v>273.3</v>
      </c>
      <c r="F110">
        <v>16.531787562148264</v>
      </c>
      <c r="G110">
        <v>6.3022717818211381E-3</v>
      </c>
      <c r="H110" s="3">
        <f t="shared" si="3"/>
        <v>116.59202796369105</v>
      </c>
      <c r="I110" t="b">
        <f t="shared" si="4"/>
        <v>1</v>
      </c>
      <c r="J110" s="3">
        <f t="shared" si="5"/>
        <v>2344.0710722101062</v>
      </c>
    </row>
    <row r="111" spans="1:10" x14ac:dyDescent="0.25">
      <c r="A111" t="s">
        <v>122</v>
      </c>
      <c r="B111" t="s">
        <v>343</v>
      </c>
      <c r="C111" t="s">
        <v>564</v>
      </c>
      <c r="D111" t="s">
        <v>785</v>
      </c>
      <c r="E111">
        <v>383.3</v>
      </c>
      <c r="F111">
        <v>19.578048932414077</v>
      </c>
      <c r="G111">
        <v>7.4635719135646202E-3</v>
      </c>
      <c r="H111" s="3">
        <f t="shared" si="3"/>
        <v>138.07608040094547</v>
      </c>
      <c r="I111" t="b">
        <f t="shared" si="4"/>
        <v>1</v>
      </c>
      <c r="J111" s="3">
        <f t="shared" si="5"/>
        <v>2776.0057997516515</v>
      </c>
    </row>
    <row r="112" spans="1:10" x14ac:dyDescent="0.25">
      <c r="A112" t="s">
        <v>123</v>
      </c>
      <c r="B112" t="s">
        <v>344</v>
      </c>
      <c r="C112" t="s">
        <v>565</v>
      </c>
      <c r="D112" t="s">
        <v>786</v>
      </c>
      <c r="E112">
        <v>152.30000000000001</v>
      </c>
      <c r="F112">
        <v>12.340988615179905</v>
      </c>
      <c r="G112">
        <v>4.7046493923804944E-3</v>
      </c>
      <c r="H112" s="3">
        <f t="shared" si="3"/>
        <v>87.03601375903915</v>
      </c>
      <c r="I112" t="b">
        <f t="shared" si="4"/>
        <v>1</v>
      </c>
      <c r="J112" s="3">
        <f t="shared" si="5"/>
        <v>1749.8503598940713</v>
      </c>
    </row>
    <row r="113" spans="1:10" x14ac:dyDescent="0.25">
      <c r="A113" t="s">
        <v>124</v>
      </c>
      <c r="B113" t="s">
        <v>345</v>
      </c>
      <c r="C113" t="s">
        <v>566</v>
      </c>
      <c r="D113" t="s">
        <v>787</v>
      </c>
      <c r="E113">
        <v>272.8</v>
      </c>
      <c r="F113">
        <v>16.516658257650064</v>
      </c>
      <c r="G113">
        <v>6.2965041666458808E-3</v>
      </c>
      <c r="H113" s="3">
        <f t="shared" si="3"/>
        <v>116.4853270829488</v>
      </c>
      <c r="I113" t="b">
        <f t="shared" si="4"/>
        <v>1</v>
      </c>
      <c r="J113" s="3">
        <f t="shared" si="5"/>
        <v>2341.9258616644483</v>
      </c>
    </row>
    <row r="114" spans="1:10" x14ac:dyDescent="0.25">
      <c r="A114" t="s">
        <v>125</v>
      </c>
      <c r="B114" t="s">
        <v>346</v>
      </c>
      <c r="C114" t="s">
        <v>567</v>
      </c>
      <c r="D114" t="s">
        <v>788</v>
      </c>
      <c r="E114">
        <v>162.69999999999999</v>
      </c>
      <c r="F114">
        <v>12.755391017134675</v>
      </c>
      <c r="G114">
        <v>4.8626284708280197E-3</v>
      </c>
      <c r="H114" s="3">
        <f t="shared" si="3"/>
        <v>89.95862671031837</v>
      </c>
      <c r="I114" t="b">
        <f t="shared" si="4"/>
        <v>1</v>
      </c>
      <c r="J114" s="3">
        <f t="shared" si="5"/>
        <v>1808.6092012489348</v>
      </c>
    </row>
    <row r="115" spans="1:10" x14ac:dyDescent="0.25">
      <c r="A115" t="s">
        <v>126</v>
      </c>
      <c r="B115" t="s">
        <v>347</v>
      </c>
      <c r="C115" t="s">
        <v>568</v>
      </c>
      <c r="D115" t="s">
        <v>789</v>
      </c>
      <c r="E115">
        <v>559.20000000000005</v>
      </c>
      <c r="F115">
        <v>23.647410006171924</v>
      </c>
      <c r="G115">
        <v>9.0148995826852835E-3</v>
      </c>
      <c r="H115" s="3">
        <f t="shared" si="3"/>
        <v>166.77564227967775</v>
      </c>
      <c r="I115" t="b">
        <f t="shared" si="4"/>
        <v>1</v>
      </c>
      <c r="J115" s="3">
        <f t="shared" si="5"/>
        <v>3353.0076236327031</v>
      </c>
    </row>
    <row r="116" spans="1:10" x14ac:dyDescent="0.25">
      <c r="A116" t="s">
        <v>127</v>
      </c>
      <c r="B116" t="s">
        <v>348</v>
      </c>
      <c r="C116" t="s">
        <v>569</v>
      </c>
      <c r="D116" t="s">
        <v>790</v>
      </c>
      <c r="E116">
        <v>221.1</v>
      </c>
      <c r="F116">
        <v>14.869431730903505</v>
      </c>
      <c r="G116">
        <v>5.6685461059246441E-3</v>
      </c>
      <c r="H116" s="3">
        <f t="shared" si="3"/>
        <v>104.86810295960592</v>
      </c>
      <c r="I116" t="b">
        <f t="shared" si="4"/>
        <v>1</v>
      </c>
      <c r="J116" s="3">
        <f t="shared" si="5"/>
        <v>2108.3627314700771</v>
      </c>
    </row>
    <row r="117" spans="1:10" x14ac:dyDescent="0.25">
      <c r="A117" t="s">
        <v>129</v>
      </c>
      <c r="B117" t="s">
        <v>350</v>
      </c>
      <c r="C117" t="s">
        <v>571</v>
      </c>
      <c r="D117" t="s">
        <v>792</v>
      </c>
      <c r="E117">
        <v>201.6</v>
      </c>
      <c r="F117">
        <v>14.198591479439079</v>
      </c>
      <c r="G117">
        <v>5.4128074224325936E-3</v>
      </c>
      <c r="H117" s="3">
        <f t="shared" si="3"/>
        <v>100.13693731500298</v>
      </c>
      <c r="I117" t="b">
        <f t="shared" si="4"/>
        <v>1</v>
      </c>
      <c r="J117" s="3">
        <f t="shared" si="5"/>
        <v>2013.2431189284571</v>
      </c>
    </row>
    <row r="118" spans="1:10" x14ac:dyDescent="0.25">
      <c r="A118" t="s">
        <v>130</v>
      </c>
      <c r="B118" t="s">
        <v>351</v>
      </c>
      <c r="C118" t="s">
        <v>572</v>
      </c>
      <c r="D118" t="s">
        <v>793</v>
      </c>
      <c r="E118">
        <v>192.6</v>
      </c>
      <c r="F118">
        <v>13.878040207464453</v>
      </c>
      <c r="G118">
        <v>5.2906064064566763E-3</v>
      </c>
      <c r="H118" s="3">
        <f t="shared" si="3"/>
        <v>97.876218519448514</v>
      </c>
      <c r="I118" t="b">
        <f t="shared" si="4"/>
        <v>1</v>
      </c>
      <c r="J118" s="3">
        <f t="shared" si="5"/>
        <v>1967.7915934372695</v>
      </c>
    </row>
    <row r="119" spans="1:10" x14ac:dyDescent="0.25">
      <c r="A119" t="s">
        <v>131</v>
      </c>
      <c r="B119" t="s">
        <v>352</v>
      </c>
      <c r="C119" t="s">
        <v>573</v>
      </c>
      <c r="D119" t="s">
        <v>794</v>
      </c>
      <c r="E119">
        <v>143.80000000000001</v>
      </c>
      <c r="F119">
        <v>11.991663771137015</v>
      </c>
      <c r="G119">
        <v>4.5714792739632156E-3</v>
      </c>
      <c r="H119" s="3">
        <f t="shared" si="3"/>
        <v>84.572366568319495</v>
      </c>
      <c r="I119" t="b">
        <f t="shared" si="4"/>
        <v>1</v>
      </c>
      <c r="J119" s="3">
        <f t="shared" si="5"/>
        <v>1700.3189792949106</v>
      </c>
    </row>
    <row r="120" spans="1:10" x14ac:dyDescent="0.25">
      <c r="A120" t="s">
        <v>132</v>
      </c>
      <c r="B120" t="s">
        <v>353</v>
      </c>
      <c r="C120" t="s">
        <v>574</v>
      </c>
      <c r="D120" t="s">
        <v>795</v>
      </c>
      <c r="E120">
        <v>83</v>
      </c>
      <c r="F120">
        <v>9.1104335791442992</v>
      </c>
      <c r="G120">
        <v>3.4730925648633094E-3</v>
      </c>
      <c r="H120" s="3">
        <f t="shared" si="3"/>
        <v>64.252212449971225</v>
      </c>
      <c r="I120" t="b">
        <f t="shared" si="4"/>
        <v>1</v>
      </c>
      <c r="J120" s="3">
        <f t="shared" si="5"/>
        <v>1291.784311157011</v>
      </c>
    </row>
    <row r="121" spans="1:10" x14ac:dyDescent="0.25">
      <c r="A121" t="s">
        <v>133</v>
      </c>
      <c r="B121" t="s">
        <v>354</v>
      </c>
      <c r="C121" t="s">
        <v>575</v>
      </c>
      <c r="D121" t="s">
        <v>796</v>
      </c>
      <c r="E121">
        <v>124.6</v>
      </c>
      <c r="F121">
        <v>11.16243700990066</v>
      </c>
      <c r="G121">
        <v>4.2553602578904188E-3</v>
      </c>
      <c r="H121" s="3">
        <f t="shared" si="3"/>
        <v>78.724164770972749</v>
      </c>
      <c r="I121" t="b">
        <f t="shared" si="4"/>
        <v>1</v>
      </c>
      <c r="J121" s="3">
        <f t="shared" si="5"/>
        <v>1582.741466517821</v>
      </c>
    </row>
    <row r="122" spans="1:10" x14ac:dyDescent="0.25">
      <c r="A122" t="s">
        <v>134</v>
      </c>
      <c r="B122" t="s">
        <v>355</v>
      </c>
      <c r="C122" t="s">
        <v>576</v>
      </c>
      <c r="D122" t="s">
        <v>797</v>
      </c>
      <c r="E122">
        <v>153.6</v>
      </c>
      <c r="F122">
        <v>12.393546707863734</v>
      </c>
      <c r="G122">
        <v>4.7246856639078421E-3</v>
      </c>
      <c r="H122" s="3">
        <f t="shared" si="3"/>
        <v>87.406684782295073</v>
      </c>
      <c r="I122" t="b">
        <f t="shared" si="4"/>
        <v>1</v>
      </c>
      <c r="J122" s="3">
        <f t="shared" si="5"/>
        <v>1757.302663778788</v>
      </c>
    </row>
    <row r="123" spans="1:10" x14ac:dyDescent="0.25">
      <c r="A123" t="s">
        <v>135</v>
      </c>
      <c r="B123" t="s">
        <v>356</v>
      </c>
      <c r="C123" t="s">
        <v>577</v>
      </c>
      <c r="D123" t="s">
        <v>798</v>
      </c>
      <c r="E123">
        <v>420.2</v>
      </c>
      <c r="F123">
        <v>20.498780451529306</v>
      </c>
      <c r="G123">
        <v>7.8145745047689293E-3</v>
      </c>
      <c r="H123" s="3">
        <f t="shared" si="3"/>
        <v>144.56962833822519</v>
      </c>
      <c r="I123" t="b">
        <f t="shared" si="4"/>
        <v>1</v>
      </c>
      <c r="J123" s="3">
        <f t="shared" si="5"/>
        <v>2906.5579321884188</v>
      </c>
    </row>
    <row r="124" spans="1:10" x14ac:dyDescent="0.25">
      <c r="A124" t="s">
        <v>136</v>
      </c>
      <c r="B124" t="s">
        <v>357</v>
      </c>
      <c r="C124" t="s">
        <v>578</v>
      </c>
      <c r="D124" t="s">
        <v>799</v>
      </c>
      <c r="E124">
        <v>238.4</v>
      </c>
      <c r="F124">
        <v>15.440207252495027</v>
      </c>
      <c r="G124">
        <v>5.8861379694758499E-3</v>
      </c>
      <c r="H124" s="3">
        <f t="shared" si="3"/>
        <v>108.89355243530322</v>
      </c>
      <c r="I124" t="b">
        <f t="shared" si="4"/>
        <v>1</v>
      </c>
      <c r="J124" s="3">
        <f t="shared" si="5"/>
        <v>2189.2939909517627</v>
      </c>
    </row>
    <row r="125" spans="1:10" x14ac:dyDescent="0.25">
      <c r="A125" t="s">
        <v>137</v>
      </c>
      <c r="B125" t="s">
        <v>358</v>
      </c>
      <c r="C125" t="s">
        <v>579</v>
      </c>
      <c r="D125" t="s">
        <v>800</v>
      </c>
      <c r="E125">
        <v>255.5</v>
      </c>
      <c r="F125">
        <v>15.984367363145781</v>
      </c>
      <c r="G125">
        <v>6.0935834678682377E-3</v>
      </c>
      <c r="H125" s="3">
        <f t="shared" si="3"/>
        <v>112.7312941555624</v>
      </c>
      <c r="I125" t="b">
        <f t="shared" si="4"/>
        <v>1</v>
      </c>
      <c r="J125" s="3">
        <f t="shared" si="5"/>
        <v>2266.4514047663233</v>
      </c>
    </row>
    <row r="126" spans="1:10" x14ac:dyDescent="0.25">
      <c r="A126" t="s">
        <v>138</v>
      </c>
      <c r="B126" t="s">
        <v>359</v>
      </c>
      <c r="C126" t="s">
        <v>580</v>
      </c>
      <c r="D126" t="s">
        <v>801</v>
      </c>
      <c r="E126">
        <v>124</v>
      </c>
      <c r="F126">
        <v>11.135528725660043</v>
      </c>
      <c r="G126">
        <v>4.2451022431518829E-3</v>
      </c>
      <c r="H126" s="3">
        <f t="shared" si="3"/>
        <v>78.53439149830983</v>
      </c>
      <c r="I126" t="b">
        <f t="shared" si="4"/>
        <v>1</v>
      </c>
      <c r="J126" s="3">
        <f t="shared" si="5"/>
        <v>1578.9260938332814</v>
      </c>
    </row>
    <row r="127" spans="1:10" x14ac:dyDescent="0.25">
      <c r="A127" t="s">
        <v>139</v>
      </c>
      <c r="B127" t="s">
        <v>360</v>
      </c>
      <c r="C127" t="s">
        <v>581</v>
      </c>
      <c r="D127" t="s">
        <v>802</v>
      </c>
      <c r="E127">
        <v>228</v>
      </c>
      <c r="F127">
        <v>15.0996688705415</v>
      </c>
      <c r="G127">
        <v>5.756317438747118E-3</v>
      </c>
      <c r="H127" s="3">
        <f t="shared" si="3"/>
        <v>106.49187261682168</v>
      </c>
      <c r="I127" t="b">
        <f t="shared" si="4"/>
        <v>1</v>
      </c>
      <c r="J127" s="3">
        <f t="shared" si="5"/>
        <v>2141.0084581796027</v>
      </c>
    </row>
    <row r="128" spans="1:10" x14ac:dyDescent="0.25">
      <c r="A128" t="s">
        <v>140</v>
      </c>
      <c r="B128" t="s">
        <v>361</v>
      </c>
      <c r="C128" t="s">
        <v>582</v>
      </c>
      <c r="D128" t="s">
        <v>803</v>
      </c>
      <c r="E128">
        <v>84.7</v>
      </c>
      <c r="F128">
        <v>9.2032602918748303</v>
      </c>
      <c r="G128">
        <v>3.5084800975207172E-3</v>
      </c>
      <c r="H128" s="3">
        <f t="shared" si="3"/>
        <v>64.906881804133263</v>
      </c>
      <c r="I128" t="b">
        <f t="shared" si="4"/>
        <v>1</v>
      </c>
      <c r="J128" s="3">
        <f t="shared" si="5"/>
        <v>1304.9463731071783</v>
      </c>
    </row>
    <row r="129" spans="1:10" x14ac:dyDescent="0.25">
      <c r="A129" t="s">
        <v>141</v>
      </c>
      <c r="B129" t="s">
        <v>362</v>
      </c>
      <c r="C129" t="s">
        <v>583</v>
      </c>
      <c r="D129" t="s">
        <v>804</v>
      </c>
      <c r="E129">
        <v>187.8</v>
      </c>
      <c r="F129">
        <v>13.704014010500719</v>
      </c>
      <c r="G129">
        <v>5.2242638898776844E-3</v>
      </c>
      <c r="H129" s="3">
        <f t="shared" si="3"/>
        <v>96.648881962737164</v>
      </c>
      <c r="I129" t="b">
        <f t="shared" si="4"/>
        <v>1</v>
      </c>
      <c r="J129" s="3">
        <f t="shared" si="5"/>
        <v>1943.1161146013674</v>
      </c>
    </row>
    <row r="130" spans="1:10" x14ac:dyDescent="0.25">
      <c r="A130" t="s">
        <v>142</v>
      </c>
      <c r="B130" t="s">
        <v>363</v>
      </c>
      <c r="C130" t="s">
        <v>584</v>
      </c>
      <c r="D130" t="s">
        <v>805</v>
      </c>
      <c r="E130">
        <v>210.8</v>
      </c>
      <c r="F130">
        <v>14.518953130305229</v>
      </c>
      <c r="G130">
        <v>5.5349361507773835E-3</v>
      </c>
      <c r="H130" s="3">
        <f t="shared" si="3"/>
        <v>102.3963187893816</v>
      </c>
      <c r="I130" t="b">
        <f t="shared" si="4"/>
        <v>1</v>
      </c>
      <c r="J130" s="3">
        <f t="shared" si="5"/>
        <v>2058.6677577110299</v>
      </c>
    </row>
    <row r="131" spans="1:10" x14ac:dyDescent="0.25">
      <c r="A131" t="s">
        <v>143</v>
      </c>
      <c r="B131" t="s">
        <v>364</v>
      </c>
      <c r="C131" t="s">
        <v>585</v>
      </c>
      <c r="D131" t="s">
        <v>806</v>
      </c>
      <c r="E131">
        <v>228.5</v>
      </c>
      <c r="F131">
        <v>15.116216457830975</v>
      </c>
      <c r="G131">
        <v>5.7626257337236673E-3</v>
      </c>
      <c r="H131" s="3">
        <f t="shared" si="3"/>
        <v>106.60857607388785</v>
      </c>
      <c r="I131" t="b">
        <f t="shared" si="4"/>
        <v>1</v>
      </c>
      <c r="J131" s="3">
        <f t="shared" si="5"/>
        <v>2143.354769522783</v>
      </c>
    </row>
    <row r="132" spans="1:10" x14ac:dyDescent="0.25">
      <c r="A132" t="s">
        <v>145</v>
      </c>
      <c r="B132" t="s">
        <v>366</v>
      </c>
      <c r="C132" t="s">
        <v>587</v>
      </c>
      <c r="D132" t="s">
        <v>808</v>
      </c>
      <c r="E132">
        <v>99.3</v>
      </c>
      <c r="F132">
        <v>9.9649385346824886</v>
      </c>
      <c r="G132">
        <v>3.7988481704485807E-3</v>
      </c>
      <c r="H132" s="3">
        <f t="shared" ref="H132:H195" si="6">18500*G132</f>
        <v>70.278691153298738</v>
      </c>
      <c r="I132" t="b">
        <f t="shared" ref="I132:I195" si="7">H132&gt;49</f>
        <v>1</v>
      </c>
      <c r="J132" s="3">
        <f t="shared" ref="J132:J195" si="8">+E132/H132*1000</f>
        <v>1412.9460633152253</v>
      </c>
    </row>
    <row r="133" spans="1:10" x14ac:dyDescent="0.25">
      <c r="A133" t="s">
        <v>146</v>
      </c>
      <c r="B133" t="s">
        <v>367</v>
      </c>
      <c r="C133" t="s">
        <v>588</v>
      </c>
      <c r="D133" t="s">
        <v>809</v>
      </c>
      <c r="E133">
        <v>19.399999999999999</v>
      </c>
      <c r="F133">
        <v>4.4045431091090483</v>
      </c>
      <c r="G133">
        <v>1.6791062457099186E-3</v>
      </c>
      <c r="H133" s="3">
        <v>50</v>
      </c>
      <c r="I133" t="b">
        <f t="shared" si="7"/>
        <v>1</v>
      </c>
      <c r="J133" s="3">
        <f t="shared" si="8"/>
        <v>387.99999999999994</v>
      </c>
    </row>
    <row r="134" spans="1:10" x14ac:dyDescent="0.25">
      <c r="A134" t="s">
        <v>147</v>
      </c>
      <c r="B134" t="s">
        <v>368</v>
      </c>
      <c r="C134" t="s">
        <v>589</v>
      </c>
      <c r="D134" t="s">
        <v>810</v>
      </c>
      <c r="E134">
        <v>48</v>
      </c>
      <c r="F134">
        <v>6.9282032302755088</v>
      </c>
      <c r="G134">
        <v>2.6411795792041647E-3</v>
      </c>
      <c r="H134" s="3">
        <v>50</v>
      </c>
      <c r="I134" t="b">
        <f t="shared" si="7"/>
        <v>1</v>
      </c>
      <c r="J134" s="3">
        <f t="shared" si="8"/>
        <v>960</v>
      </c>
    </row>
    <row r="135" spans="1:10" x14ac:dyDescent="0.25">
      <c r="A135" t="s">
        <v>148</v>
      </c>
      <c r="B135" t="s">
        <v>369</v>
      </c>
      <c r="C135" t="s">
        <v>590</v>
      </c>
      <c r="D135" t="s">
        <v>811</v>
      </c>
      <c r="E135">
        <v>55.8</v>
      </c>
      <c r="F135">
        <v>7.469939758793239</v>
      </c>
      <c r="G135">
        <v>2.8477011561373355E-3</v>
      </c>
      <c r="H135" s="3">
        <f t="shared" si="6"/>
        <v>52.682471388540705</v>
      </c>
      <c r="I135" t="b">
        <f t="shared" si="7"/>
        <v>1</v>
      </c>
      <c r="J135" s="3">
        <f t="shared" si="8"/>
        <v>1059.1758231778285</v>
      </c>
    </row>
    <row r="136" spans="1:10" x14ac:dyDescent="0.25">
      <c r="A136" t="s">
        <v>149</v>
      </c>
      <c r="B136" t="s">
        <v>370</v>
      </c>
      <c r="C136" t="s">
        <v>591</v>
      </c>
      <c r="D136" t="s">
        <v>812</v>
      </c>
      <c r="E136">
        <v>138.9</v>
      </c>
      <c r="F136">
        <v>11.78558441486887</v>
      </c>
      <c r="G136">
        <v>4.4929174059896463E-3</v>
      </c>
      <c r="H136" s="3">
        <f t="shared" si="6"/>
        <v>83.118972010808463</v>
      </c>
      <c r="I136" t="b">
        <f t="shared" si="7"/>
        <v>1</v>
      </c>
      <c r="J136" s="3">
        <f t="shared" si="8"/>
        <v>1671.0986269408866</v>
      </c>
    </row>
    <row r="137" spans="1:10" x14ac:dyDescent="0.25">
      <c r="A137" t="s">
        <v>150</v>
      </c>
      <c r="B137" t="s">
        <v>371</v>
      </c>
      <c r="C137" t="s">
        <v>592</v>
      </c>
      <c r="D137" t="s">
        <v>813</v>
      </c>
      <c r="E137">
        <v>82.8</v>
      </c>
      <c r="F137">
        <v>9.0994505328618605</v>
      </c>
      <c r="G137">
        <v>3.468905592196014E-3</v>
      </c>
      <c r="H137" s="3">
        <f t="shared" si="6"/>
        <v>64.174753455626259</v>
      </c>
      <c r="I137" t="b">
        <f t="shared" si="7"/>
        <v>1</v>
      </c>
      <c r="J137" s="3">
        <f t="shared" si="8"/>
        <v>1290.2270058154909</v>
      </c>
    </row>
    <row r="138" spans="1:10" x14ac:dyDescent="0.25">
      <c r="A138" t="s">
        <v>151</v>
      </c>
      <c r="B138" t="s">
        <v>372</v>
      </c>
      <c r="C138" t="s">
        <v>593</v>
      </c>
      <c r="D138" t="s">
        <v>814</v>
      </c>
      <c r="E138">
        <v>79.599999999999994</v>
      </c>
      <c r="F138">
        <v>8.9218832092781852</v>
      </c>
      <c r="G138">
        <v>3.4012131222445384E-3</v>
      </c>
      <c r="H138" s="3">
        <f t="shared" si="6"/>
        <v>62.922442761523961</v>
      </c>
      <c r="I138" t="b">
        <f t="shared" si="7"/>
        <v>1</v>
      </c>
      <c r="J138" s="3">
        <f t="shared" si="8"/>
        <v>1265.0494244427855</v>
      </c>
    </row>
    <row r="139" spans="1:10" x14ac:dyDescent="0.25">
      <c r="A139" t="s">
        <v>152</v>
      </c>
      <c r="B139" t="s">
        <v>373</v>
      </c>
      <c r="C139" t="s">
        <v>594</v>
      </c>
      <c r="D139" t="s">
        <v>815</v>
      </c>
      <c r="E139">
        <v>70.3</v>
      </c>
      <c r="F139">
        <v>8.3845095265018337</v>
      </c>
      <c r="G139">
        <v>3.1963547556267055E-3</v>
      </c>
      <c r="H139" s="3">
        <f t="shared" si="6"/>
        <v>59.132562979094054</v>
      </c>
      <c r="I139" t="b">
        <f t="shared" si="7"/>
        <v>1</v>
      </c>
      <c r="J139" s="3">
        <f t="shared" si="8"/>
        <v>1188.8542701058657</v>
      </c>
    </row>
    <row r="140" spans="1:10" x14ac:dyDescent="0.25">
      <c r="A140" t="s">
        <v>153</v>
      </c>
      <c r="B140" t="s">
        <v>374</v>
      </c>
      <c r="C140" t="s">
        <v>595</v>
      </c>
      <c r="D140" t="s">
        <v>816</v>
      </c>
      <c r="E140">
        <v>80.5</v>
      </c>
      <c r="F140">
        <v>8.9721792224631809</v>
      </c>
      <c r="G140">
        <v>3.4203870405786737E-3</v>
      </c>
      <c r="H140" s="3">
        <f t="shared" si="6"/>
        <v>63.277160250705464</v>
      </c>
      <c r="I140" t="b">
        <f t="shared" si="7"/>
        <v>1</v>
      </c>
      <c r="J140" s="3">
        <f t="shared" si="8"/>
        <v>1272.1809841190293</v>
      </c>
    </row>
    <row r="141" spans="1:10" x14ac:dyDescent="0.25">
      <c r="A141" t="s">
        <v>154</v>
      </c>
      <c r="B141" t="s">
        <v>375</v>
      </c>
      <c r="C141" t="s">
        <v>596</v>
      </c>
      <c r="D141" t="s">
        <v>817</v>
      </c>
      <c r="E141">
        <v>137.1</v>
      </c>
      <c r="F141">
        <v>11.708970919769166</v>
      </c>
      <c r="G141">
        <v>4.4637106994276114E-3</v>
      </c>
      <c r="H141" s="3">
        <f t="shared" si="6"/>
        <v>82.578647939410814</v>
      </c>
      <c r="I141" t="b">
        <f t="shared" si="7"/>
        <v>1</v>
      </c>
      <c r="J141" s="3">
        <f t="shared" si="8"/>
        <v>1660.2354654751955</v>
      </c>
    </row>
    <row r="142" spans="1:10" x14ac:dyDescent="0.25">
      <c r="A142" t="s">
        <v>155</v>
      </c>
      <c r="B142" t="s">
        <v>376</v>
      </c>
      <c r="C142" t="s">
        <v>597</v>
      </c>
      <c r="D142" t="s">
        <v>818</v>
      </c>
      <c r="E142">
        <v>102.3</v>
      </c>
      <c r="F142">
        <v>10.114346246792227</v>
      </c>
      <c r="G142">
        <v>3.8558055928976567E-3</v>
      </c>
      <c r="H142" s="3">
        <f t="shared" si="6"/>
        <v>71.332403468606643</v>
      </c>
      <c r="I142" t="b">
        <f t="shared" si="7"/>
        <v>1</v>
      </c>
      <c r="J142" s="3">
        <f t="shared" si="8"/>
        <v>1434.1308441264309</v>
      </c>
    </row>
    <row r="143" spans="1:10" x14ac:dyDescent="0.25">
      <c r="A143" t="s">
        <v>157</v>
      </c>
      <c r="B143" t="s">
        <v>378</v>
      </c>
      <c r="C143" t="s">
        <v>599</v>
      </c>
      <c r="D143" t="s">
        <v>820</v>
      </c>
      <c r="E143">
        <v>56.2</v>
      </c>
      <c r="F143">
        <v>7.4966659255965249</v>
      </c>
      <c r="G143">
        <v>2.8578897438050264E-3</v>
      </c>
      <c r="H143" s="3">
        <f t="shared" si="6"/>
        <v>52.870960260392991</v>
      </c>
      <c r="I143" t="b">
        <f t="shared" si="7"/>
        <v>1</v>
      </c>
      <c r="J143" s="3">
        <f t="shared" si="8"/>
        <v>1062.9653731124095</v>
      </c>
    </row>
    <row r="144" spans="1:10" x14ac:dyDescent="0.25">
      <c r="A144" t="s">
        <v>158</v>
      </c>
      <c r="B144" t="s">
        <v>379</v>
      </c>
      <c r="C144" t="s">
        <v>600</v>
      </c>
      <c r="D144" t="s">
        <v>821</v>
      </c>
      <c r="E144">
        <v>146.6</v>
      </c>
      <c r="F144">
        <v>12.107848694132249</v>
      </c>
      <c r="G144">
        <v>4.6157714570627898E-3</v>
      </c>
      <c r="H144" s="3">
        <f t="shared" si="6"/>
        <v>85.391771955661611</v>
      </c>
      <c r="I144" t="b">
        <f t="shared" si="7"/>
        <v>1</v>
      </c>
      <c r="J144" s="3">
        <f t="shared" si="8"/>
        <v>1716.7930427315623</v>
      </c>
    </row>
    <row r="145" spans="1:10" x14ac:dyDescent="0.25">
      <c r="A145" t="s">
        <v>159</v>
      </c>
      <c r="B145" t="s">
        <v>380</v>
      </c>
      <c r="C145" t="s">
        <v>601</v>
      </c>
      <c r="D145" t="s">
        <v>822</v>
      </c>
      <c r="E145">
        <v>182.4</v>
      </c>
      <c r="F145">
        <v>13.505554412907307</v>
      </c>
      <c r="G145">
        <v>5.1486068372424152E-3</v>
      </c>
      <c r="H145" s="3">
        <f t="shared" si="6"/>
        <v>95.249226488984675</v>
      </c>
      <c r="I145" t="b">
        <f t="shared" si="7"/>
        <v>1</v>
      </c>
      <c r="J145" s="3">
        <f t="shared" si="8"/>
        <v>1914.9761811566425</v>
      </c>
    </row>
    <row r="146" spans="1:10" x14ac:dyDescent="0.25">
      <c r="A146" t="s">
        <v>160</v>
      </c>
      <c r="B146" t="s">
        <v>381</v>
      </c>
      <c r="C146" t="s">
        <v>602</v>
      </c>
      <c r="D146" t="s">
        <v>823</v>
      </c>
      <c r="E146">
        <v>104.3</v>
      </c>
      <c r="F146">
        <v>10.212737145349429</v>
      </c>
      <c r="G146">
        <v>3.8933143124619493E-3</v>
      </c>
      <c r="H146" s="3">
        <f t="shared" si="6"/>
        <v>72.026314780546059</v>
      </c>
      <c r="I146" t="b">
        <f t="shared" si="7"/>
        <v>1</v>
      </c>
      <c r="J146" s="3">
        <f t="shared" si="8"/>
        <v>1448.0818617166137</v>
      </c>
    </row>
    <row r="147" spans="1:10" x14ac:dyDescent="0.25">
      <c r="A147" t="s">
        <v>161</v>
      </c>
      <c r="B147" t="s">
        <v>382</v>
      </c>
      <c r="C147" t="s">
        <v>603</v>
      </c>
      <c r="D147" t="s">
        <v>824</v>
      </c>
      <c r="E147">
        <v>172.9</v>
      </c>
      <c r="F147">
        <v>13.149144458861192</v>
      </c>
      <c r="G147">
        <v>5.0127357230207474E-3</v>
      </c>
      <c r="H147" s="3">
        <f t="shared" si="6"/>
        <v>92.735610875883822</v>
      </c>
      <c r="I147" t="b">
        <f t="shared" si="7"/>
        <v>1</v>
      </c>
      <c r="J147" s="3">
        <f t="shared" si="8"/>
        <v>1864.4401904184056</v>
      </c>
    </row>
    <row r="148" spans="1:10" x14ac:dyDescent="0.25">
      <c r="A148" t="s">
        <v>162</v>
      </c>
      <c r="B148" t="s">
        <v>383</v>
      </c>
      <c r="C148" t="s">
        <v>604</v>
      </c>
      <c r="D148" t="s">
        <v>825</v>
      </c>
      <c r="E148">
        <v>41.4</v>
      </c>
      <c r="F148">
        <v>6.4342831768581652</v>
      </c>
      <c r="G148">
        <v>2.4528866675377382E-3</v>
      </c>
      <c r="H148" s="3">
        <v>50</v>
      </c>
      <c r="I148" t="b">
        <f t="shared" si="7"/>
        <v>1</v>
      </c>
      <c r="J148" s="3">
        <f t="shared" si="8"/>
        <v>828</v>
      </c>
    </row>
    <row r="149" spans="1:10" x14ac:dyDescent="0.25">
      <c r="A149" t="s">
        <v>163</v>
      </c>
      <c r="B149" t="s">
        <v>384</v>
      </c>
      <c r="C149" t="s">
        <v>605</v>
      </c>
      <c r="D149" t="s">
        <v>826</v>
      </c>
      <c r="E149">
        <v>85.5</v>
      </c>
      <c r="F149">
        <v>9.2466210044534645</v>
      </c>
      <c r="G149">
        <v>3.5250101306037499E-3</v>
      </c>
      <c r="H149" s="3">
        <f t="shared" si="6"/>
        <v>65.212687416169373</v>
      </c>
      <c r="I149" t="b">
        <f t="shared" si="7"/>
        <v>1</v>
      </c>
      <c r="J149" s="3">
        <f t="shared" si="8"/>
        <v>1311.0945643807408</v>
      </c>
    </row>
    <row r="150" spans="1:10" x14ac:dyDescent="0.25">
      <c r="A150" t="s">
        <v>164</v>
      </c>
      <c r="B150" t="s">
        <v>385</v>
      </c>
      <c r="C150" t="s">
        <v>606</v>
      </c>
      <c r="D150" t="s">
        <v>827</v>
      </c>
      <c r="E150">
        <v>112.1</v>
      </c>
      <c r="F150">
        <v>10.58772874605314</v>
      </c>
      <c r="G150">
        <v>4.0362691486918812E-3</v>
      </c>
      <c r="H150" s="3">
        <f t="shared" si="6"/>
        <v>74.670979250799803</v>
      </c>
      <c r="I150" t="b">
        <f t="shared" si="7"/>
        <v>1</v>
      </c>
      <c r="J150" s="3">
        <f t="shared" si="8"/>
        <v>1501.2525766333683</v>
      </c>
    </row>
    <row r="151" spans="1:10" x14ac:dyDescent="0.25">
      <c r="A151" t="s">
        <v>165</v>
      </c>
      <c r="B151" t="s">
        <v>386</v>
      </c>
      <c r="C151" t="s">
        <v>607</v>
      </c>
      <c r="D151" t="s">
        <v>828</v>
      </c>
      <c r="E151">
        <v>111.2</v>
      </c>
      <c r="F151">
        <v>10.545141061171254</v>
      </c>
      <c r="G151">
        <v>4.0200338103368975E-3</v>
      </c>
      <c r="H151" s="3">
        <f t="shared" si="6"/>
        <v>74.370625491232602</v>
      </c>
      <c r="I151" t="b">
        <f t="shared" si="7"/>
        <v>1</v>
      </c>
      <c r="J151" s="3">
        <f t="shared" si="8"/>
        <v>1495.2139943089378</v>
      </c>
    </row>
    <row r="152" spans="1:10" x14ac:dyDescent="0.25">
      <c r="A152" t="s">
        <v>166</v>
      </c>
      <c r="B152" t="s">
        <v>387</v>
      </c>
      <c r="C152" t="s">
        <v>608</v>
      </c>
      <c r="D152" t="s">
        <v>829</v>
      </c>
      <c r="E152">
        <v>165.7</v>
      </c>
      <c r="F152">
        <v>12.872451204024818</v>
      </c>
      <c r="G152">
        <v>4.9072543232858406E-3</v>
      </c>
      <c r="H152" s="3">
        <f t="shared" si="6"/>
        <v>90.784204980788047</v>
      </c>
      <c r="I152" t="b">
        <f t="shared" si="7"/>
        <v>1</v>
      </c>
      <c r="J152" s="3">
        <f t="shared" si="8"/>
        <v>1825.207369884065</v>
      </c>
    </row>
    <row r="153" spans="1:10" x14ac:dyDescent="0.25">
      <c r="A153" t="s">
        <v>167</v>
      </c>
      <c r="B153" t="s">
        <v>388</v>
      </c>
      <c r="C153" t="s">
        <v>609</v>
      </c>
      <c r="D153" t="s">
        <v>830</v>
      </c>
      <c r="E153">
        <v>176.7</v>
      </c>
      <c r="F153">
        <v>13.292855223765885</v>
      </c>
      <c r="G153">
        <v>5.0675213470797271E-3</v>
      </c>
      <c r="H153" s="3">
        <f t="shared" si="6"/>
        <v>93.749144920974956</v>
      </c>
      <c r="I153" t="b">
        <f t="shared" si="7"/>
        <v>1</v>
      </c>
      <c r="J153" s="3">
        <f t="shared" si="8"/>
        <v>1884.8171911215591</v>
      </c>
    </row>
    <row r="154" spans="1:10" x14ac:dyDescent="0.25">
      <c r="A154" t="s">
        <v>168</v>
      </c>
      <c r="B154" t="s">
        <v>389</v>
      </c>
      <c r="C154" t="s">
        <v>610</v>
      </c>
      <c r="D154" t="s">
        <v>831</v>
      </c>
      <c r="E154">
        <v>134.4</v>
      </c>
      <c r="F154">
        <v>11.593101396951552</v>
      </c>
      <c r="G154">
        <v>4.4195387536364308E-3</v>
      </c>
      <c r="H154" s="3">
        <f t="shared" si="6"/>
        <v>81.761466942273969</v>
      </c>
      <c r="I154" t="b">
        <f t="shared" si="7"/>
        <v>1</v>
      </c>
      <c r="J154" s="3">
        <f t="shared" si="8"/>
        <v>1643.8061231813563</v>
      </c>
    </row>
    <row r="155" spans="1:10" x14ac:dyDescent="0.25">
      <c r="A155" t="s">
        <v>169</v>
      </c>
      <c r="B155" t="s">
        <v>390</v>
      </c>
      <c r="C155" t="s">
        <v>611</v>
      </c>
      <c r="D155" t="s">
        <v>832</v>
      </c>
      <c r="E155">
        <v>115.9</v>
      </c>
      <c r="F155">
        <v>10.765686229869418</v>
      </c>
      <c r="G155">
        <v>4.1041103560872112E-3</v>
      </c>
      <c r="H155" s="3">
        <f t="shared" si="6"/>
        <v>75.926041587613412</v>
      </c>
      <c r="I155" t="b">
        <f t="shared" si="7"/>
        <v>1</v>
      </c>
      <c r="J155" s="3">
        <f t="shared" si="8"/>
        <v>1526.4854795078365</v>
      </c>
    </row>
    <row r="156" spans="1:10" x14ac:dyDescent="0.25">
      <c r="A156" t="s">
        <v>170</v>
      </c>
      <c r="B156" t="s">
        <v>391</v>
      </c>
      <c r="C156" t="s">
        <v>612</v>
      </c>
      <c r="D156" t="s">
        <v>833</v>
      </c>
      <c r="E156">
        <v>171.2</v>
      </c>
      <c r="F156">
        <v>13.0843417870369</v>
      </c>
      <c r="G156">
        <v>4.988031555459343E-3</v>
      </c>
      <c r="H156" s="3">
        <f t="shared" si="6"/>
        <v>92.278583775997845</v>
      </c>
      <c r="I156" t="b">
        <f t="shared" si="7"/>
        <v>1</v>
      </c>
      <c r="J156" s="3">
        <f t="shared" si="8"/>
        <v>1855.2517062418337</v>
      </c>
    </row>
    <row r="157" spans="1:10" x14ac:dyDescent="0.25">
      <c r="A157" t="s">
        <v>171</v>
      </c>
      <c r="B157" t="s">
        <v>392</v>
      </c>
      <c r="C157" t="s">
        <v>613</v>
      </c>
      <c r="D157" t="s">
        <v>834</v>
      </c>
      <c r="E157">
        <v>139.19999999999999</v>
      </c>
      <c r="F157">
        <v>11.798304963002099</v>
      </c>
      <c r="G157">
        <v>4.4977667516062627E-3</v>
      </c>
      <c r="H157" s="3">
        <f t="shared" si="6"/>
        <v>83.208684904715867</v>
      </c>
      <c r="I157" t="b">
        <f t="shared" si="7"/>
        <v>1</v>
      </c>
      <c r="J157" s="3">
        <f t="shared" si="8"/>
        <v>1672.9022957086877</v>
      </c>
    </row>
    <row r="158" spans="1:10" x14ac:dyDescent="0.25">
      <c r="A158" t="s">
        <v>172</v>
      </c>
      <c r="B158" t="s">
        <v>393</v>
      </c>
      <c r="C158" t="s">
        <v>614</v>
      </c>
      <c r="D158" t="s">
        <v>835</v>
      </c>
      <c r="E158">
        <v>175.4</v>
      </c>
      <c r="F158">
        <v>13.243866504914644</v>
      </c>
      <c r="G158">
        <v>5.0488457973678104E-3</v>
      </c>
      <c r="H158" s="3">
        <f t="shared" si="6"/>
        <v>93.403647251304491</v>
      </c>
      <c r="I158" t="b">
        <f t="shared" si="7"/>
        <v>1</v>
      </c>
      <c r="J158" s="3">
        <f t="shared" si="8"/>
        <v>1877.8709949953302</v>
      </c>
    </row>
    <row r="159" spans="1:10" x14ac:dyDescent="0.25">
      <c r="A159" t="s">
        <v>173</v>
      </c>
      <c r="B159" t="s">
        <v>394</v>
      </c>
      <c r="C159" t="s">
        <v>615</v>
      </c>
      <c r="D159" t="s">
        <v>836</v>
      </c>
      <c r="E159">
        <v>178.2</v>
      </c>
      <c r="F159">
        <v>13.349157276772193</v>
      </c>
      <c r="G159">
        <v>5.0889848965347591E-3</v>
      </c>
      <c r="H159" s="3">
        <f t="shared" si="6"/>
        <v>94.146220585893047</v>
      </c>
      <c r="I159" t="b">
        <f t="shared" si="7"/>
        <v>1</v>
      </c>
      <c r="J159" s="3">
        <f t="shared" si="8"/>
        <v>1892.8003576885128</v>
      </c>
    </row>
    <row r="160" spans="1:10" x14ac:dyDescent="0.25">
      <c r="A160" t="s">
        <v>174</v>
      </c>
      <c r="B160" t="s">
        <v>395</v>
      </c>
      <c r="C160" t="s">
        <v>616</v>
      </c>
      <c r="D160" t="s">
        <v>837</v>
      </c>
      <c r="E160">
        <v>101.5</v>
      </c>
      <c r="F160">
        <v>10.074720839804943</v>
      </c>
      <c r="G160">
        <v>3.8406995383732851E-3</v>
      </c>
      <c r="H160" s="3">
        <f t="shared" si="6"/>
        <v>71.052941459905782</v>
      </c>
      <c r="I160" t="b">
        <f t="shared" si="7"/>
        <v>1</v>
      </c>
      <c r="J160" s="3">
        <f t="shared" si="8"/>
        <v>1428.5122883656418</v>
      </c>
    </row>
    <row r="161" spans="1:10" x14ac:dyDescent="0.25">
      <c r="A161" t="s">
        <v>175</v>
      </c>
      <c r="B161" t="s">
        <v>396</v>
      </c>
      <c r="C161" t="s">
        <v>617</v>
      </c>
      <c r="D161" t="s">
        <v>838</v>
      </c>
      <c r="E161">
        <v>137</v>
      </c>
      <c r="F161">
        <v>11.704699910719626</v>
      </c>
      <c r="G161">
        <v>4.462082499227746E-3</v>
      </c>
      <c r="H161" s="3">
        <f t="shared" si="6"/>
        <v>82.548526235713297</v>
      </c>
      <c r="I161" t="b">
        <f t="shared" si="7"/>
        <v>1</v>
      </c>
      <c r="J161" s="3">
        <f t="shared" si="8"/>
        <v>1659.6298716321496</v>
      </c>
    </row>
    <row r="162" spans="1:10" x14ac:dyDescent="0.25">
      <c r="A162" t="s">
        <v>176</v>
      </c>
      <c r="B162" t="s">
        <v>397</v>
      </c>
      <c r="C162" t="s">
        <v>618</v>
      </c>
      <c r="D162" t="s">
        <v>839</v>
      </c>
      <c r="E162">
        <v>145.5</v>
      </c>
      <c r="F162">
        <v>12.062338081814818</v>
      </c>
      <c r="G162">
        <v>4.5984218361156725E-3</v>
      </c>
      <c r="H162" s="3">
        <f t="shared" si="6"/>
        <v>85.070803968139941</v>
      </c>
      <c r="I162" t="b">
        <f t="shared" si="7"/>
        <v>1</v>
      </c>
      <c r="J162" s="3">
        <f t="shared" si="8"/>
        <v>1710.3400134139033</v>
      </c>
    </row>
    <row r="163" spans="1:10" x14ac:dyDescent="0.25">
      <c r="A163" t="s">
        <v>177</v>
      </c>
      <c r="B163" t="s">
        <v>398</v>
      </c>
      <c r="C163" t="s">
        <v>619</v>
      </c>
      <c r="D163" t="s">
        <v>840</v>
      </c>
      <c r="E163">
        <v>200</v>
      </c>
      <c r="F163">
        <v>14.142135623730951</v>
      </c>
      <c r="G163">
        <v>5.3912852400908274E-3</v>
      </c>
      <c r="H163" s="3">
        <f t="shared" si="6"/>
        <v>99.738776941680314</v>
      </c>
      <c r="I163" t="b">
        <f t="shared" si="7"/>
        <v>1</v>
      </c>
      <c r="J163" s="3">
        <f t="shared" si="8"/>
        <v>2005.238144407414</v>
      </c>
    </row>
    <row r="164" spans="1:10" x14ac:dyDescent="0.25">
      <c r="A164" t="s">
        <v>178</v>
      </c>
      <c r="B164" t="s">
        <v>399</v>
      </c>
      <c r="C164" t="s">
        <v>620</v>
      </c>
      <c r="D164" t="s">
        <v>841</v>
      </c>
      <c r="E164">
        <v>198.5</v>
      </c>
      <c r="F164">
        <v>14.089002803605371</v>
      </c>
      <c r="G164">
        <v>5.3710298701432528E-3</v>
      </c>
      <c r="H164" s="3">
        <f t="shared" si="6"/>
        <v>99.364052597650172</v>
      </c>
      <c r="I164" t="b">
        <f t="shared" si="7"/>
        <v>1</v>
      </c>
      <c r="J164" s="3">
        <f t="shared" si="8"/>
        <v>1997.7043489135453</v>
      </c>
    </row>
    <row r="165" spans="1:10" x14ac:dyDescent="0.25">
      <c r="A165" t="s">
        <v>180</v>
      </c>
      <c r="B165" t="s">
        <v>401</v>
      </c>
      <c r="C165" t="s">
        <v>622</v>
      </c>
      <c r="D165" t="s">
        <v>843</v>
      </c>
      <c r="E165">
        <v>321.8</v>
      </c>
      <c r="F165">
        <v>17.938784797192923</v>
      </c>
      <c r="G165">
        <v>6.838649287168784E-3</v>
      </c>
      <c r="H165" s="3">
        <f t="shared" si="6"/>
        <v>126.5150118126225</v>
      </c>
      <c r="I165" t="b">
        <f t="shared" si="7"/>
        <v>1</v>
      </c>
      <c r="J165" s="3">
        <f t="shared" si="8"/>
        <v>2543.5716709777344</v>
      </c>
    </row>
    <row r="166" spans="1:10" x14ac:dyDescent="0.25">
      <c r="A166" t="s">
        <v>181</v>
      </c>
      <c r="B166" t="s">
        <v>402</v>
      </c>
      <c r="C166" t="s">
        <v>623</v>
      </c>
      <c r="D166" t="s">
        <v>844</v>
      </c>
      <c r="E166">
        <v>308.10000000000002</v>
      </c>
      <c r="F166">
        <v>17.5527775579821</v>
      </c>
      <c r="G166">
        <v>6.6914950534168877E-3</v>
      </c>
      <c r="H166" s="3">
        <f t="shared" si="6"/>
        <v>123.79265848821242</v>
      </c>
      <c r="I166" t="b">
        <f t="shared" si="7"/>
        <v>1</v>
      </c>
      <c r="J166" s="3">
        <f t="shared" si="8"/>
        <v>2488.8390294109195</v>
      </c>
    </row>
    <row r="167" spans="1:10" x14ac:dyDescent="0.25">
      <c r="A167" t="s">
        <v>182</v>
      </c>
      <c r="B167" t="s">
        <v>403</v>
      </c>
      <c r="C167" t="s">
        <v>624</v>
      </c>
      <c r="D167" t="s">
        <v>845</v>
      </c>
      <c r="E167">
        <v>101.2</v>
      </c>
      <c r="F167">
        <v>10.059821071967434</v>
      </c>
      <c r="G167">
        <v>3.8350194274932603E-3</v>
      </c>
      <c r="H167" s="3">
        <f t="shared" si="6"/>
        <v>70.94785940862532</v>
      </c>
      <c r="I167" t="b">
        <f t="shared" si="7"/>
        <v>1</v>
      </c>
      <c r="J167" s="3">
        <f t="shared" si="8"/>
        <v>1426.3996242245591</v>
      </c>
    </row>
    <row r="168" spans="1:10" x14ac:dyDescent="0.25">
      <c r="A168" t="s">
        <v>183</v>
      </c>
      <c r="B168" t="s">
        <v>404</v>
      </c>
      <c r="C168" t="s">
        <v>625</v>
      </c>
      <c r="D168" t="s">
        <v>846</v>
      </c>
      <c r="E168">
        <v>253.5</v>
      </c>
      <c r="F168">
        <v>15.921683328090658</v>
      </c>
      <c r="G168">
        <v>6.0696869700567662E-3</v>
      </c>
      <c r="H168" s="3">
        <f t="shared" si="6"/>
        <v>112.28920894605018</v>
      </c>
      <c r="I168" t="b">
        <f t="shared" si="7"/>
        <v>1</v>
      </c>
      <c r="J168" s="3">
        <f t="shared" si="8"/>
        <v>2257.563325802706</v>
      </c>
    </row>
    <row r="169" spans="1:10" x14ac:dyDescent="0.25">
      <c r="A169" t="s">
        <v>184</v>
      </c>
      <c r="B169" t="s">
        <v>405</v>
      </c>
      <c r="C169" t="s">
        <v>626</v>
      </c>
      <c r="D169" t="s">
        <v>847</v>
      </c>
      <c r="E169">
        <v>228.4</v>
      </c>
      <c r="F169">
        <v>15.11290838985005</v>
      </c>
      <c r="G169">
        <v>5.7613646273000484E-3</v>
      </c>
      <c r="H169" s="3">
        <f t="shared" si="6"/>
        <v>106.5852456050509</v>
      </c>
      <c r="I169" t="b">
        <f t="shared" si="7"/>
        <v>1</v>
      </c>
      <c r="J169" s="3">
        <f t="shared" si="8"/>
        <v>2142.8857127780216</v>
      </c>
    </row>
    <row r="170" spans="1:10" x14ac:dyDescent="0.25">
      <c r="A170" t="s">
        <v>185</v>
      </c>
      <c r="B170" t="s">
        <v>406</v>
      </c>
      <c r="C170" t="s">
        <v>627</v>
      </c>
      <c r="D170" t="s">
        <v>848</v>
      </c>
      <c r="E170">
        <v>208</v>
      </c>
      <c r="F170">
        <v>14.422205101855956</v>
      </c>
      <c r="G170">
        <v>5.4980537285135777E-3</v>
      </c>
      <c r="H170" s="3">
        <f t="shared" si="6"/>
        <v>101.71399397750119</v>
      </c>
      <c r="I170" t="b">
        <f t="shared" si="7"/>
        <v>1</v>
      </c>
      <c r="J170" s="3">
        <f t="shared" si="8"/>
        <v>2044.9496855467983</v>
      </c>
    </row>
    <row r="171" spans="1:10" x14ac:dyDescent="0.25">
      <c r="A171" t="s">
        <v>186</v>
      </c>
      <c r="B171" t="s">
        <v>407</v>
      </c>
      <c r="C171" t="s">
        <v>628</v>
      </c>
      <c r="D171" t="s">
        <v>849</v>
      </c>
      <c r="E171">
        <v>233</v>
      </c>
      <c r="F171">
        <v>15.264337522473747</v>
      </c>
      <c r="G171">
        <v>5.8190926585787155E-3</v>
      </c>
      <c r="H171" s="3">
        <f t="shared" si="6"/>
        <v>107.65321418370624</v>
      </c>
      <c r="I171" t="b">
        <f t="shared" si="7"/>
        <v>1</v>
      </c>
      <c r="J171" s="3">
        <f t="shared" si="8"/>
        <v>2164.3571143393278</v>
      </c>
    </row>
    <row r="172" spans="1:10" x14ac:dyDescent="0.25">
      <c r="A172" t="s">
        <v>187</v>
      </c>
      <c r="B172" t="s">
        <v>408</v>
      </c>
      <c r="C172" t="s">
        <v>629</v>
      </c>
      <c r="D172" t="s">
        <v>850</v>
      </c>
      <c r="E172">
        <v>247.2</v>
      </c>
      <c r="F172">
        <v>15.722595205626837</v>
      </c>
      <c r="G172">
        <v>5.9937903102683038E-3</v>
      </c>
      <c r="H172" s="3">
        <f t="shared" si="6"/>
        <v>110.88512073996363</v>
      </c>
      <c r="I172" t="b">
        <f t="shared" si="7"/>
        <v>1</v>
      </c>
      <c r="J172" s="3">
        <f t="shared" si="8"/>
        <v>2229.334272717329</v>
      </c>
    </row>
    <row r="173" spans="1:10" x14ac:dyDescent="0.25">
      <c r="A173" t="s">
        <v>188</v>
      </c>
      <c r="B173" t="s">
        <v>409</v>
      </c>
      <c r="C173" t="s">
        <v>630</v>
      </c>
      <c r="D173" t="s">
        <v>851</v>
      </c>
      <c r="E173">
        <v>242.8</v>
      </c>
      <c r="F173">
        <v>15.582040944625964</v>
      </c>
      <c r="G173">
        <v>5.9402080131579355E-3</v>
      </c>
      <c r="H173" s="3">
        <f t="shared" si="6"/>
        <v>109.8938482434218</v>
      </c>
      <c r="I173" t="b">
        <f t="shared" si="7"/>
        <v>1</v>
      </c>
      <c r="J173" s="3">
        <f t="shared" si="8"/>
        <v>2209.4048382233618</v>
      </c>
    </row>
    <row r="174" spans="1:10" x14ac:dyDescent="0.25">
      <c r="A174" t="s">
        <v>189</v>
      </c>
      <c r="B174" t="s">
        <v>410</v>
      </c>
      <c r="C174" t="s">
        <v>631</v>
      </c>
      <c r="D174" t="s">
        <v>852</v>
      </c>
      <c r="E174">
        <v>275.8</v>
      </c>
      <c r="F174">
        <v>16.607227342335023</v>
      </c>
      <c r="G174">
        <v>6.3310310430994762E-3</v>
      </c>
      <c r="H174" s="3">
        <f t="shared" si="6"/>
        <v>117.12407429734031</v>
      </c>
      <c r="I174" t="b">
        <f t="shared" si="7"/>
        <v>1</v>
      </c>
      <c r="J174" s="3">
        <f t="shared" si="8"/>
        <v>2354.7678105854875</v>
      </c>
    </row>
    <row r="175" spans="1:10" x14ac:dyDescent="0.25">
      <c r="A175" t="s">
        <v>190</v>
      </c>
      <c r="B175" t="s">
        <v>411</v>
      </c>
      <c r="C175" t="s">
        <v>632</v>
      </c>
      <c r="D175" t="s">
        <v>853</v>
      </c>
      <c r="E175">
        <v>241.4</v>
      </c>
      <c r="F175">
        <v>15.537052487521564</v>
      </c>
      <c r="G175">
        <v>5.9230574489705567E-3</v>
      </c>
      <c r="H175" s="3">
        <f t="shared" si="6"/>
        <v>109.57656280595531</v>
      </c>
      <c r="I175" t="b">
        <f t="shared" si="7"/>
        <v>1</v>
      </c>
      <c r="J175" s="3">
        <f t="shared" si="8"/>
        <v>2203.0258462065972</v>
      </c>
    </row>
    <row r="176" spans="1:10" x14ac:dyDescent="0.25">
      <c r="A176" t="s">
        <v>191</v>
      </c>
      <c r="B176" t="s">
        <v>412</v>
      </c>
      <c r="C176" t="s">
        <v>633</v>
      </c>
      <c r="D176" t="s">
        <v>854</v>
      </c>
      <c r="E176">
        <v>216.9</v>
      </c>
      <c r="F176">
        <v>14.727525250360292</v>
      </c>
      <c r="G176">
        <v>5.6144483137395614E-3</v>
      </c>
      <c r="H176" s="3">
        <f t="shared" si="6"/>
        <v>103.86729380418188</v>
      </c>
      <c r="I176" t="b">
        <f t="shared" si="7"/>
        <v>1</v>
      </c>
      <c r="J176" s="3">
        <f t="shared" si="8"/>
        <v>2088.2415634021959</v>
      </c>
    </row>
    <row r="177" spans="1:10" x14ac:dyDescent="0.25">
      <c r="A177" t="s">
        <v>192</v>
      </c>
      <c r="B177" t="s">
        <v>413</v>
      </c>
      <c r="C177" t="s">
        <v>634</v>
      </c>
      <c r="D177" t="s">
        <v>855</v>
      </c>
      <c r="E177">
        <v>83.9</v>
      </c>
      <c r="F177">
        <v>9.1596943180435897</v>
      </c>
      <c r="G177">
        <v>3.4918718144483626E-3</v>
      </c>
      <c r="H177" s="3">
        <f t="shared" si="6"/>
        <v>64.599628567294715</v>
      </c>
      <c r="I177" t="b">
        <f t="shared" si="7"/>
        <v>1</v>
      </c>
      <c r="J177" s="3">
        <f t="shared" si="8"/>
        <v>1298.7690774816099</v>
      </c>
    </row>
    <row r="178" spans="1:10" x14ac:dyDescent="0.25">
      <c r="A178" t="s">
        <v>193</v>
      </c>
      <c r="B178" t="s">
        <v>414</v>
      </c>
      <c r="C178" t="s">
        <v>635</v>
      </c>
      <c r="D178" t="s">
        <v>856</v>
      </c>
      <c r="E178">
        <v>217.6</v>
      </c>
      <c r="F178">
        <v>14.75127113166862</v>
      </c>
      <c r="G178">
        <v>5.6235007526933859E-3</v>
      </c>
      <c r="H178" s="3">
        <f t="shared" si="6"/>
        <v>104.03476392482764</v>
      </c>
      <c r="I178" t="b">
        <f t="shared" si="7"/>
        <v>1</v>
      </c>
      <c r="J178" s="3">
        <f t="shared" si="8"/>
        <v>2091.6085334439854</v>
      </c>
    </row>
    <row r="179" spans="1:10" x14ac:dyDescent="0.25">
      <c r="A179" t="s">
        <v>194</v>
      </c>
      <c r="B179" t="s">
        <v>415</v>
      </c>
      <c r="C179" t="s">
        <v>636</v>
      </c>
      <c r="D179" t="s">
        <v>857</v>
      </c>
      <c r="E179">
        <v>236.4</v>
      </c>
      <c r="F179">
        <v>15.375304875026057</v>
      </c>
      <c r="G179">
        <v>5.8613957919854782E-3</v>
      </c>
      <c r="H179" s="3">
        <f t="shared" si="6"/>
        <v>108.43582215173134</v>
      </c>
      <c r="I179" t="b">
        <f t="shared" si="7"/>
        <v>1</v>
      </c>
      <c r="J179" s="3">
        <f t="shared" si="8"/>
        <v>2180.0913693374482</v>
      </c>
    </row>
    <row r="180" spans="1:10" x14ac:dyDescent="0.25">
      <c r="A180" t="s">
        <v>195</v>
      </c>
      <c r="B180" t="s">
        <v>416</v>
      </c>
      <c r="C180" t="s">
        <v>637</v>
      </c>
      <c r="D180" t="s">
        <v>858</v>
      </c>
      <c r="E180">
        <v>221.5</v>
      </c>
      <c r="F180">
        <v>14.882876066137216</v>
      </c>
      <c r="G180">
        <v>5.6736713746985282E-3</v>
      </c>
      <c r="H180" s="3">
        <f t="shared" si="6"/>
        <v>104.96292043192277</v>
      </c>
      <c r="I180" t="b">
        <f t="shared" si="7"/>
        <v>1</v>
      </c>
      <c r="J180" s="3">
        <f t="shared" si="8"/>
        <v>2110.2690272767445</v>
      </c>
    </row>
    <row r="181" spans="1:10" x14ac:dyDescent="0.25">
      <c r="A181" t="s">
        <v>196</v>
      </c>
      <c r="B181" t="s">
        <v>417</v>
      </c>
      <c r="C181" t="s">
        <v>638</v>
      </c>
      <c r="D181" t="s">
        <v>859</v>
      </c>
      <c r="E181">
        <v>177.1</v>
      </c>
      <c r="F181">
        <v>13.307892395116516</v>
      </c>
      <c r="G181">
        <v>5.0732538391242343E-3</v>
      </c>
      <c r="H181" s="3">
        <f t="shared" si="6"/>
        <v>93.855196023798328</v>
      </c>
      <c r="I181" t="b">
        <f t="shared" si="7"/>
        <v>1</v>
      </c>
      <c r="J181" s="3">
        <f t="shared" si="8"/>
        <v>1886.9493379470834</v>
      </c>
    </row>
    <row r="182" spans="1:10" x14ac:dyDescent="0.25">
      <c r="A182" t="s">
        <v>197</v>
      </c>
      <c r="B182" t="s">
        <v>418</v>
      </c>
      <c r="C182" t="s">
        <v>639</v>
      </c>
      <c r="D182" t="s">
        <v>860</v>
      </c>
      <c r="E182">
        <v>127.1</v>
      </c>
      <c r="F182">
        <v>11.273863579093016</v>
      </c>
      <c r="G182">
        <v>4.2978384545237945E-3</v>
      </c>
      <c r="H182" s="3">
        <f t="shared" si="6"/>
        <v>79.510011408690204</v>
      </c>
      <c r="I182" t="b">
        <f t="shared" si="7"/>
        <v>1</v>
      </c>
      <c r="J182" s="3">
        <f t="shared" si="8"/>
        <v>1598.5408346464951</v>
      </c>
    </row>
    <row r="183" spans="1:10" x14ac:dyDescent="0.25">
      <c r="A183" t="s">
        <v>198</v>
      </c>
      <c r="B183" t="s">
        <v>419</v>
      </c>
      <c r="C183" t="s">
        <v>640</v>
      </c>
      <c r="D183" t="s">
        <v>861</v>
      </c>
      <c r="E183">
        <v>119.8</v>
      </c>
      <c r="F183">
        <v>10.945318634009702</v>
      </c>
      <c r="G183">
        <v>4.1725900790124002E-3</v>
      </c>
      <c r="H183" s="3">
        <f t="shared" si="6"/>
        <v>77.192916461729411</v>
      </c>
      <c r="I183" t="b">
        <f t="shared" si="7"/>
        <v>1</v>
      </c>
      <c r="J183" s="3">
        <f t="shared" si="8"/>
        <v>1551.9558722644488</v>
      </c>
    </row>
    <row r="184" spans="1:10" x14ac:dyDescent="0.25">
      <c r="A184" t="s">
        <v>200</v>
      </c>
      <c r="B184" t="s">
        <v>421</v>
      </c>
      <c r="C184" t="s">
        <v>642</v>
      </c>
      <c r="D184" t="s">
        <v>863</v>
      </c>
      <c r="E184">
        <v>153.1</v>
      </c>
      <c r="F184">
        <v>12.373358476985947</v>
      </c>
      <c r="G184">
        <v>4.7169894775572945E-3</v>
      </c>
      <c r="H184" s="3">
        <f t="shared" si="6"/>
        <v>87.264305334809947</v>
      </c>
      <c r="I184" t="b">
        <f t="shared" si="7"/>
        <v>1</v>
      </c>
      <c r="J184" s="3">
        <f t="shared" si="8"/>
        <v>1754.4401392138057</v>
      </c>
    </row>
    <row r="185" spans="1:10" x14ac:dyDescent="0.25">
      <c r="A185" t="s">
        <v>201</v>
      </c>
      <c r="B185" t="s">
        <v>422</v>
      </c>
      <c r="C185" t="s">
        <v>643</v>
      </c>
      <c r="D185" t="s">
        <v>864</v>
      </c>
      <c r="E185">
        <v>98.8</v>
      </c>
      <c r="F185">
        <v>9.9398189118313418</v>
      </c>
      <c r="G185">
        <v>3.789272031772129E-3</v>
      </c>
      <c r="H185" s="3">
        <f t="shared" si="6"/>
        <v>70.101532587784391</v>
      </c>
      <c r="I185" t="b">
        <f t="shared" si="7"/>
        <v>1</v>
      </c>
      <c r="J185" s="3">
        <f t="shared" si="8"/>
        <v>1409.3843080574316</v>
      </c>
    </row>
    <row r="186" spans="1:10" x14ac:dyDescent="0.25">
      <c r="A186" t="s">
        <v>202</v>
      </c>
      <c r="B186" t="s">
        <v>423</v>
      </c>
      <c r="C186" t="s">
        <v>644</v>
      </c>
      <c r="D186" t="s">
        <v>865</v>
      </c>
      <c r="E186">
        <v>176.1</v>
      </c>
      <c r="F186">
        <v>13.270267518026907</v>
      </c>
      <c r="G186">
        <v>5.058910429478731E-3</v>
      </c>
      <c r="H186" s="3">
        <f t="shared" si="6"/>
        <v>93.589842945356523</v>
      </c>
      <c r="I186" t="b">
        <f t="shared" si="7"/>
        <v>1</v>
      </c>
      <c r="J186" s="3">
        <f t="shared" si="8"/>
        <v>1881.6144408193734</v>
      </c>
    </row>
    <row r="187" spans="1:10" x14ac:dyDescent="0.25">
      <c r="A187" t="s">
        <v>203</v>
      </c>
      <c r="B187" t="s">
        <v>424</v>
      </c>
      <c r="C187" t="s">
        <v>645</v>
      </c>
      <c r="D187" t="s">
        <v>866</v>
      </c>
      <c r="E187">
        <v>157.19999999999999</v>
      </c>
      <c r="F187">
        <v>12.537942414925983</v>
      </c>
      <c r="G187">
        <v>4.7797324025991945E-3</v>
      </c>
      <c r="H187" s="3">
        <f t="shared" si="6"/>
        <v>88.425049448085105</v>
      </c>
      <c r="I187" t="b">
        <f t="shared" si="7"/>
        <v>1</v>
      </c>
      <c r="J187" s="3">
        <f t="shared" si="8"/>
        <v>1777.7767836284115</v>
      </c>
    </row>
    <row r="188" spans="1:10" x14ac:dyDescent="0.25">
      <c r="A188" t="s">
        <v>204</v>
      </c>
      <c r="B188" t="s">
        <v>425</v>
      </c>
      <c r="C188" t="s">
        <v>646</v>
      </c>
      <c r="D188" t="s">
        <v>867</v>
      </c>
      <c r="E188">
        <v>182.3</v>
      </c>
      <c r="F188">
        <v>13.501851724856113</v>
      </c>
      <c r="G188">
        <v>5.1471952931892266E-3</v>
      </c>
      <c r="H188" s="3">
        <f t="shared" si="6"/>
        <v>95.223112924000688</v>
      </c>
      <c r="I188" t="b">
        <f t="shared" si="7"/>
        <v>1</v>
      </c>
      <c r="J188" s="3">
        <f t="shared" si="8"/>
        <v>1914.4511705419354</v>
      </c>
    </row>
    <row r="189" spans="1:10" x14ac:dyDescent="0.25">
      <c r="A189" t="s">
        <v>205</v>
      </c>
      <c r="B189" t="s">
        <v>426</v>
      </c>
      <c r="C189" t="s">
        <v>647</v>
      </c>
      <c r="D189" t="s">
        <v>868</v>
      </c>
      <c r="E189">
        <v>213.5</v>
      </c>
      <c r="F189">
        <v>14.611639196202457</v>
      </c>
      <c r="G189">
        <v>5.5702700658471346E-3</v>
      </c>
      <c r="H189" s="3">
        <f t="shared" si="6"/>
        <v>103.04999621817198</v>
      </c>
      <c r="I189" t="b">
        <f t="shared" si="7"/>
        <v>1</v>
      </c>
      <c r="J189" s="3">
        <f t="shared" si="8"/>
        <v>2071.8098771007149</v>
      </c>
    </row>
    <row r="190" spans="1:10" x14ac:dyDescent="0.25">
      <c r="A190" t="s">
        <v>206</v>
      </c>
      <c r="B190" t="s">
        <v>427</v>
      </c>
      <c r="C190" t="s">
        <v>648</v>
      </c>
      <c r="D190" t="s">
        <v>869</v>
      </c>
      <c r="E190">
        <v>206</v>
      </c>
      <c r="F190">
        <v>14.352700094407323</v>
      </c>
      <c r="G190">
        <v>5.4715569298163973E-3</v>
      </c>
      <c r="H190" s="3">
        <f t="shared" si="6"/>
        <v>101.22380320160335</v>
      </c>
      <c r="I190" t="b">
        <f t="shared" si="7"/>
        <v>1</v>
      </c>
      <c r="J190" s="3">
        <f t="shared" si="8"/>
        <v>2035.094448977758</v>
      </c>
    </row>
    <row r="191" spans="1:10" x14ac:dyDescent="0.25">
      <c r="A191" t="s">
        <v>207</v>
      </c>
      <c r="B191" t="s">
        <v>428</v>
      </c>
      <c r="C191" t="s">
        <v>649</v>
      </c>
      <c r="D191" t="s">
        <v>870</v>
      </c>
      <c r="E191">
        <v>59.3</v>
      </c>
      <c r="F191">
        <v>7.7006493232713824</v>
      </c>
      <c r="G191">
        <v>2.9356525874354219E-3</v>
      </c>
      <c r="H191" s="3">
        <f t="shared" si="6"/>
        <v>54.309572867555303</v>
      </c>
      <c r="I191" t="b">
        <f t="shared" si="7"/>
        <v>1</v>
      </c>
      <c r="J191" s="3">
        <f t="shared" si="8"/>
        <v>1091.8885358317002</v>
      </c>
    </row>
    <row r="192" spans="1:10" x14ac:dyDescent="0.25">
      <c r="A192" t="s">
        <v>208</v>
      </c>
      <c r="B192" t="s">
        <v>429</v>
      </c>
      <c r="C192" t="s">
        <v>650</v>
      </c>
      <c r="D192" t="s">
        <v>871</v>
      </c>
      <c r="E192">
        <v>198.4</v>
      </c>
      <c r="F192">
        <v>14.085453489327207</v>
      </c>
      <c r="G192">
        <v>5.36967679545995E-3</v>
      </c>
      <c r="H192" s="3">
        <f t="shared" si="6"/>
        <v>99.339020716009074</v>
      </c>
      <c r="I192" t="b">
        <f t="shared" si="7"/>
        <v>1</v>
      </c>
      <c r="J192" s="3">
        <f t="shared" si="8"/>
        <v>1997.2010854343632</v>
      </c>
    </row>
    <row r="193" spans="1:10" x14ac:dyDescent="0.25">
      <c r="A193" t="s">
        <v>209</v>
      </c>
      <c r="B193" t="s">
        <v>430</v>
      </c>
      <c r="C193" t="s">
        <v>651</v>
      </c>
      <c r="D193" t="s">
        <v>872</v>
      </c>
      <c r="E193">
        <v>154.80000000000001</v>
      </c>
      <c r="F193">
        <v>12.441864811996632</v>
      </c>
      <c r="G193">
        <v>4.7431055609143272E-3</v>
      </c>
      <c r="H193" s="3">
        <f t="shared" si="6"/>
        <v>87.747452876915048</v>
      </c>
      <c r="I193" t="b">
        <f t="shared" si="7"/>
        <v>1</v>
      </c>
      <c r="J193" s="3">
        <f t="shared" si="8"/>
        <v>1764.153772271211</v>
      </c>
    </row>
    <row r="194" spans="1:10" x14ac:dyDescent="0.25">
      <c r="A194" t="s">
        <v>210</v>
      </c>
      <c r="B194" t="s">
        <v>431</v>
      </c>
      <c r="C194" t="s">
        <v>652</v>
      </c>
      <c r="D194" t="s">
        <v>873</v>
      </c>
      <c r="E194">
        <v>180.4</v>
      </c>
      <c r="F194">
        <v>13.431306712304652</v>
      </c>
      <c r="G194">
        <v>5.1203020222540712E-3</v>
      </c>
      <c r="H194" s="3">
        <f t="shared" si="6"/>
        <v>94.725587411700317</v>
      </c>
      <c r="I194" t="b">
        <f t="shared" si="7"/>
        <v>1</v>
      </c>
      <c r="J194" s="3">
        <f t="shared" si="8"/>
        <v>1904.4484698304163</v>
      </c>
    </row>
    <row r="195" spans="1:10" x14ac:dyDescent="0.25">
      <c r="A195" t="s">
        <v>211</v>
      </c>
      <c r="B195" t="s">
        <v>432</v>
      </c>
      <c r="C195" t="s">
        <v>653</v>
      </c>
      <c r="D195" t="s">
        <v>874</v>
      </c>
      <c r="E195">
        <v>123.2</v>
      </c>
      <c r="F195">
        <v>11.099549540409287</v>
      </c>
      <c r="G195">
        <v>4.231386206511179E-3</v>
      </c>
      <c r="H195" s="3">
        <f t="shared" si="6"/>
        <v>78.280644820456814</v>
      </c>
      <c r="I195" t="b">
        <f t="shared" si="7"/>
        <v>1</v>
      </c>
      <c r="J195" s="3">
        <f t="shared" si="8"/>
        <v>1573.824542229685</v>
      </c>
    </row>
    <row r="196" spans="1:10" x14ac:dyDescent="0.25">
      <c r="A196" t="s">
        <v>212</v>
      </c>
      <c r="B196" t="s">
        <v>433</v>
      </c>
      <c r="C196" t="s">
        <v>654</v>
      </c>
      <c r="D196" t="s">
        <v>875</v>
      </c>
      <c r="E196">
        <v>92.5</v>
      </c>
      <c r="F196">
        <v>9.6176920308356717</v>
      </c>
      <c r="G196">
        <v>3.6664703598638035E-3</v>
      </c>
      <c r="H196" s="3">
        <f t="shared" ref="H196:H208" si="9">18500*G196</f>
        <v>67.829701657480371</v>
      </c>
      <c r="I196" t="b">
        <f t="shared" ref="I196:I208" si="10">H196&gt;49</f>
        <v>1</v>
      </c>
      <c r="J196" s="3">
        <f t="shared" ref="J196:J208" si="11">+E196/H196*1000</f>
        <v>1363.7093742074412</v>
      </c>
    </row>
    <row r="197" spans="1:10" x14ac:dyDescent="0.25">
      <c r="A197" t="s">
        <v>214</v>
      </c>
      <c r="B197" t="s">
        <v>435</v>
      </c>
      <c r="C197" t="s">
        <v>656</v>
      </c>
      <c r="D197" t="s">
        <v>877</v>
      </c>
      <c r="E197">
        <v>299.39999999999998</v>
      </c>
      <c r="F197">
        <v>17.30317889868795</v>
      </c>
      <c r="G197">
        <v>6.5963426942823198E-3</v>
      </c>
      <c r="H197" s="3">
        <f t="shared" si="9"/>
        <v>122.03233984422292</v>
      </c>
      <c r="I197" t="b">
        <f t="shared" si="10"/>
        <v>1</v>
      </c>
      <c r="J197" s="3">
        <f t="shared" si="11"/>
        <v>2453.4479989664292</v>
      </c>
    </row>
    <row r="198" spans="1:10" x14ac:dyDescent="0.25">
      <c r="A198" t="s">
        <v>215</v>
      </c>
      <c r="B198" t="s">
        <v>436</v>
      </c>
      <c r="C198" t="s">
        <v>657</v>
      </c>
      <c r="D198" t="s">
        <v>878</v>
      </c>
      <c r="E198">
        <v>60.5</v>
      </c>
      <c r="F198">
        <v>7.7781745930520225</v>
      </c>
      <c r="G198">
        <v>2.965206882049955E-3</v>
      </c>
      <c r="H198" s="3">
        <f t="shared" si="9"/>
        <v>54.856327317924169</v>
      </c>
      <c r="I198" t="b">
        <f t="shared" si="10"/>
        <v>1</v>
      </c>
      <c r="J198" s="3">
        <f t="shared" si="11"/>
        <v>1102.8809794240776</v>
      </c>
    </row>
    <row r="199" spans="1:10" x14ac:dyDescent="0.25">
      <c r="A199" t="s">
        <v>216</v>
      </c>
      <c r="B199" t="s">
        <v>437</v>
      </c>
      <c r="C199" t="s">
        <v>658</v>
      </c>
      <c r="D199" t="s">
        <v>879</v>
      </c>
      <c r="E199">
        <v>376.1</v>
      </c>
      <c r="F199">
        <v>19.393297811357407</v>
      </c>
      <c r="G199">
        <v>7.3931408260298872E-3</v>
      </c>
      <c r="H199" s="3">
        <f t="shared" si="9"/>
        <v>136.77310528155292</v>
      </c>
      <c r="I199" t="b">
        <f t="shared" si="10"/>
        <v>1</v>
      </c>
      <c r="J199" s="3">
        <f t="shared" si="11"/>
        <v>2749.8096151709292</v>
      </c>
    </row>
    <row r="200" spans="1:10" x14ac:dyDescent="0.25">
      <c r="A200" t="s">
        <v>217</v>
      </c>
      <c r="B200" t="s">
        <v>438</v>
      </c>
      <c r="C200" t="s">
        <v>659</v>
      </c>
      <c r="D200" t="s">
        <v>880</v>
      </c>
      <c r="E200">
        <v>331.2</v>
      </c>
      <c r="F200">
        <v>18.198901065723721</v>
      </c>
      <c r="G200">
        <v>6.937811184392028E-3</v>
      </c>
      <c r="H200" s="3">
        <f t="shared" si="9"/>
        <v>128.34950691125252</v>
      </c>
      <c r="I200" t="b">
        <f t="shared" si="10"/>
        <v>1</v>
      </c>
      <c r="J200" s="3">
        <f t="shared" si="11"/>
        <v>2580.4540116309818</v>
      </c>
    </row>
    <row r="201" spans="1:10" x14ac:dyDescent="0.25">
      <c r="A201" t="s">
        <v>218</v>
      </c>
      <c r="B201" t="s">
        <v>439</v>
      </c>
      <c r="C201" t="s">
        <v>660</v>
      </c>
      <c r="D201" t="s">
        <v>881</v>
      </c>
      <c r="E201">
        <v>152.19999999999999</v>
      </c>
      <c r="F201">
        <v>12.336936410632909</v>
      </c>
      <c r="G201">
        <v>4.7031046051471299E-3</v>
      </c>
      <c r="H201" s="3">
        <f t="shared" si="9"/>
        <v>87.007435195221902</v>
      </c>
      <c r="I201" t="b">
        <f t="shared" si="10"/>
        <v>1</v>
      </c>
      <c r="J201" s="3">
        <f t="shared" si="11"/>
        <v>1749.2757907241266</v>
      </c>
    </row>
    <row r="202" spans="1:10" x14ac:dyDescent="0.25">
      <c r="A202" t="s">
        <v>219</v>
      </c>
      <c r="B202" t="s">
        <v>440</v>
      </c>
      <c r="C202" t="s">
        <v>661</v>
      </c>
      <c r="D202" t="s">
        <v>882</v>
      </c>
      <c r="E202">
        <v>365.4</v>
      </c>
      <c r="F202">
        <v>19.115438786488788</v>
      </c>
      <c r="G202">
        <v>7.2872150097701071E-3</v>
      </c>
      <c r="H202" s="3">
        <f t="shared" si="9"/>
        <v>134.81347768074698</v>
      </c>
      <c r="I202" t="b">
        <f t="shared" si="10"/>
        <v>1</v>
      </c>
      <c r="J202" s="3">
        <f t="shared" si="11"/>
        <v>2710.4114980648078</v>
      </c>
    </row>
    <row r="203" spans="1:10" x14ac:dyDescent="0.25">
      <c r="A203" t="s">
        <v>220</v>
      </c>
      <c r="B203" t="s">
        <v>441</v>
      </c>
      <c r="C203" t="s">
        <v>662</v>
      </c>
      <c r="D203" t="s">
        <v>883</v>
      </c>
      <c r="E203">
        <v>404.4</v>
      </c>
      <c r="F203">
        <v>20.109699152399074</v>
      </c>
      <c r="G203">
        <v>7.6662483734824876E-3</v>
      </c>
      <c r="H203" s="3">
        <f t="shared" si="9"/>
        <v>141.82559490942603</v>
      </c>
      <c r="I203" t="b">
        <f t="shared" si="10"/>
        <v>1</v>
      </c>
      <c r="J203" s="3">
        <f t="shared" si="11"/>
        <v>2851.38941428916</v>
      </c>
    </row>
    <row r="204" spans="1:10" x14ac:dyDescent="0.25">
      <c r="A204" t="s">
        <v>221</v>
      </c>
      <c r="B204" t="s">
        <v>442</v>
      </c>
      <c r="C204" t="s">
        <v>663</v>
      </c>
      <c r="D204" t="s">
        <v>884</v>
      </c>
      <c r="E204">
        <v>168.2</v>
      </c>
      <c r="F204">
        <v>12.969194269498781</v>
      </c>
      <c r="G204">
        <v>4.944134853557075E-3</v>
      </c>
      <c r="H204" s="3">
        <f t="shared" si="9"/>
        <v>91.466494790805882</v>
      </c>
      <c r="I204" t="b">
        <f t="shared" si="10"/>
        <v>1</v>
      </c>
      <c r="J204" s="3">
        <f t="shared" si="11"/>
        <v>1838.9247383393474</v>
      </c>
    </row>
    <row r="205" spans="1:10" x14ac:dyDescent="0.25">
      <c r="A205" t="s">
        <v>222</v>
      </c>
      <c r="B205" t="s">
        <v>443</v>
      </c>
      <c r="C205" t="s">
        <v>664</v>
      </c>
      <c r="D205" t="s">
        <v>885</v>
      </c>
      <c r="E205">
        <v>133.5</v>
      </c>
      <c r="F205">
        <v>11.554220008291344</v>
      </c>
      <c r="G205">
        <v>4.4047163348465649E-3</v>
      </c>
      <c r="H205" s="3">
        <f t="shared" si="9"/>
        <v>81.487252194661451</v>
      </c>
      <c r="I205" t="b">
        <f t="shared" si="10"/>
        <v>1</v>
      </c>
      <c r="J205" s="3">
        <f t="shared" si="11"/>
        <v>1638.2930630804374</v>
      </c>
    </row>
    <row r="206" spans="1:10" x14ac:dyDescent="0.25">
      <c r="A206" t="s">
        <v>223</v>
      </c>
      <c r="B206" t="s">
        <v>444</v>
      </c>
      <c r="C206" t="s">
        <v>665</v>
      </c>
      <c r="D206" t="s">
        <v>886</v>
      </c>
      <c r="E206">
        <v>300.10000000000002</v>
      </c>
      <c r="F206">
        <v>17.323394586512194</v>
      </c>
      <c r="G206">
        <v>6.6040493478094044E-3</v>
      </c>
      <c r="H206" s="3">
        <f t="shared" si="9"/>
        <v>122.17491293447398</v>
      </c>
      <c r="I206" t="b">
        <f t="shared" si="10"/>
        <v>1</v>
      </c>
      <c r="J206" s="3">
        <f t="shared" si="11"/>
        <v>2456.3144166998713</v>
      </c>
    </row>
    <row r="207" spans="1:10" x14ac:dyDescent="0.25">
      <c r="A207" t="s">
        <v>224</v>
      </c>
      <c r="B207" t="s">
        <v>445</v>
      </c>
      <c r="C207" t="s">
        <v>666</v>
      </c>
      <c r="D207" t="s">
        <v>887</v>
      </c>
      <c r="E207">
        <v>174.7</v>
      </c>
      <c r="F207">
        <v>13.217412757419661</v>
      </c>
      <c r="G207">
        <v>5.0387610617798227E-3</v>
      </c>
      <c r="H207" s="3">
        <f t="shared" si="9"/>
        <v>93.21707964292672</v>
      </c>
      <c r="I207" t="b">
        <f t="shared" si="10"/>
        <v>1</v>
      </c>
      <c r="J207" s="3">
        <f t="shared" si="11"/>
        <v>1874.1200718709297</v>
      </c>
    </row>
    <row r="208" spans="1:10" x14ac:dyDescent="0.25">
      <c r="A208" t="s">
        <v>225</v>
      </c>
      <c r="B208" t="s">
        <v>446</v>
      </c>
      <c r="C208" t="s">
        <v>667</v>
      </c>
      <c r="D208" t="s">
        <v>888</v>
      </c>
      <c r="E208">
        <v>275.10000000000002</v>
      </c>
      <c r="F208">
        <v>16.586138791171379</v>
      </c>
      <c r="G208">
        <v>6.3229916353573622E-3</v>
      </c>
      <c r="H208" s="3">
        <f t="shared" si="9"/>
        <v>116.9753452541112</v>
      </c>
      <c r="I208" t="b">
        <f t="shared" si="10"/>
        <v>1</v>
      </c>
      <c r="J208" s="3">
        <f t="shared" si="11"/>
        <v>2351.7776280325311</v>
      </c>
    </row>
  </sheetData>
  <autoFilter ref="A1:J208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B777-38A7-6646-9FDE-37A60C3777ED}">
  <dimension ref="A2:I16"/>
  <sheetViews>
    <sheetView workbookViewId="0">
      <selection activeCell="H2" sqref="H2:H15"/>
    </sheetView>
  </sheetViews>
  <sheetFormatPr defaultColWidth="11.42578125" defaultRowHeight="15" x14ac:dyDescent="0.25"/>
  <cols>
    <col min="4" max="4" width="17.140625" customWidth="1"/>
    <col min="5" max="5" width="13" customWidth="1"/>
  </cols>
  <sheetData>
    <row r="2" spans="1:9" x14ac:dyDescent="0.25">
      <c r="A2" t="s">
        <v>6</v>
      </c>
      <c r="B2" t="s">
        <v>227</v>
      </c>
      <c r="C2" t="s">
        <v>448</v>
      </c>
      <c r="D2" t="s">
        <v>669</v>
      </c>
      <c r="E2">
        <v>2002.7</v>
      </c>
      <c r="F2">
        <f>SQRT(E2)</f>
        <v>44.751536286478476</v>
      </c>
      <c r="G2">
        <f>F2/$F$16</f>
        <v>6.3710839279670417E-2</v>
      </c>
      <c r="H2" s="3">
        <f>G2*18500</f>
        <v>1178.6505266739027</v>
      </c>
      <c r="I2">
        <v>1205</v>
      </c>
    </row>
    <row r="3" spans="1:9" x14ac:dyDescent="0.25">
      <c r="A3" t="s">
        <v>24</v>
      </c>
      <c r="B3" t="s">
        <v>245</v>
      </c>
      <c r="C3" t="s">
        <v>466</v>
      </c>
      <c r="D3" t="s">
        <v>687</v>
      </c>
      <c r="E3">
        <v>3394.4</v>
      </c>
      <c r="F3">
        <f t="shared" ref="F3:F15" si="0">SQRT(E3)</f>
        <v>58.261479555534805</v>
      </c>
      <c r="G3">
        <f t="shared" ref="G3:G15" si="1">F3/$F$16</f>
        <v>8.2944365002280737E-2</v>
      </c>
      <c r="H3" s="3">
        <f t="shared" ref="H3:H15" si="2">G3*18500</f>
        <v>1534.4707525421936</v>
      </c>
      <c r="I3">
        <v>1544</v>
      </c>
    </row>
    <row r="4" spans="1:9" x14ac:dyDescent="0.25">
      <c r="A4" t="s">
        <v>41</v>
      </c>
      <c r="B4" t="s">
        <v>262</v>
      </c>
      <c r="C4" t="s">
        <v>483</v>
      </c>
      <c r="D4" t="s">
        <v>704</v>
      </c>
      <c r="E4">
        <v>2044</v>
      </c>
      <c r="F4">
        <f t="shared" si="0"/>
        <v>45.210618221829257</v>
      </c>
      <c r="G4">
        <f t="shared" si="1"/>
        <v>6.4364414504710712E-2</v>
      </c>
      <c r="H4" s="3">
        <f t="shared" si="2"/>
        <v>1190.7416683371482</v>
      </c>
      <c r="I4">
        <v>1095</v>
      </c>
    </row>
    <row r="5" spans="1:9" x14ac:dyDescent="0.25">
      <c r="A5" t="s">
        <v>55</v>
      </c>
      <c r="B5" t="s">
        <v>276</v>
      </c>
      <c r="C5" t="s">
        <v>497</v>
      </c>
      <c r="D5" t="s">
        <v>718</v>
      </c>
      <c r="E5">
        <v>1507.4</v>
      </c>
      <c r="F5">
        <f t="shared" si="0"/>
        <v>38.82524951626197</v>
      </c>
      <c r="G5">
        <f t="shared" si="1"/>
        <v>5.5273839451877201E-2</v>
      </c>
      <c r="H5" s="3">
        <f t="shared" si="2"/>
        <v>1022.5660298597282</v>
      </c>
    </row>
    <row r="6" spans="1:9" x14ac:dyDescent="0.25">
      <c r="A6" t="s">
        <v>69</v>
      </c>
      <c r="B6" t="s">
        <v>290</v>
      </c>
      <c r="C6" t="s">
        <v>511</v>
      </c>
      <c r="D6" t="s">
        <v>732</v>
      </c>
      <c r="E6">
        <v>3560.6</v>
      </c>
      <c r="F6">
        <f t="shared" si="0"/>
        <v>59.670763360292284</v>
      </c>
      <c r="G6">
        <f t="shared" si="1"/>
        <v>8.4950701799515457E-2</v>
      </c>
      <c r="H6" s="3">
        <f t="shared" si="2"/>
        <v>1571.5879832910359</v>
      </c>
    </row>
    <row r="7" spans="1:9" x14ac:dyDescent="0.25">
      <c r="A7" t="s">
        <v>86</v>
      </c>
      <c r="B7" t="s">
        <v>307</v>
      </c>
      <c r="C7" t="s">
        <v>528</v>
      </c>
      <c r="D7" t="s">
        <v>749</v>
      </c>
      <c r="E7">
        <v>1075.3</v>
      </c>
      <c r="F7">
        <f t="shared" si="0"/>
        <v>32.791767259481453</v>
      </c>
      <c r="G7">
        <f t="shared" si="1"/>
        <v>4.6684230015951955E-2</v>
      </c>
      <c r="H7" s="3">
        <f t="shared" si="2"/>
        <v>863.65825529511119</v>
      </c>
    </row>
    <row r="8" spans="1:9" x14ac:dyDescent="0.25">
      <c r="A8" t="s">
        <v>98</v>
      </c>
      <c r="B8" t="s">
        <v>319</v>
      </c>
      <c r="C8" t="s">
        <v>540</v>
      </c>
      <c r="D8" t="s">
        <v>761</v>
      </c>
      <c r="E8">
        <v>3066.1</v>
      </c>
      <c r="F8">
        <f t="shared" si="0"/>
        <v>55.372375784320468</v>
      </c>
      <c r="G8">
        <f t="shared" si="1"/>
        <v>7.8831272105272382E-2</v>
      </c>
      <c r="H8" s="3">
        <f t="shared" si="2"/>
        <v>1458.3785339475392</v>
      </c>
    </row>
    <row r="9" spans="1:9" x14ac:dyDescent="0.25">
      <c r="A9" t="s">
        <v>111</v>
      </c>
      <c r="B9" t="s">
        <v>332</v>
      </c>
      <c r="C9" t="s">
        <v>553</v>
      </c>
      <c r="D9" t="s">
        <v>774</v>
      </c>
      <c r="E9">
        <v>4208.5</v>
      </c>
      <c r="F9">
        <f t="shared" si="0"/>
        <v>64.872952761532289</v>
      </c>
      <c r="G9">
        <f t="shared" si="1"/>
        <v>9.2356835316879174E-2</v>
      </c>
      <c r="H9" s="3">
        <f t="shared" si="2"/>
        <v>1708.6014533622647</v>
      </c>
    </row>
    <row r="10" spans="1:9" x14ac:dyDescent="0.25">
      <c r="A10" t="s">
        <v>128</v>
      </c>
      <c r="B10" t="s">
        <v>349</v>
      </c>
      <c r="C10" t="s">
        <v>570</v>
      </c>
      <c r="D10" t="s">
        <v>791</v>
      </c>
      <c r="E10">
        <v>2877.1</v>
      </c>
      <c r="F10">
        <f t="shared" si="0"/>
        <v>53.638605500143271</v>
      </c>
      <c r="G10">
        <f t="shared" si="1"/>
        <v>7.6362977850166394E-2</v>
      </c>
      <c r="H10" s="3">
        <f t="shared" si="2"/>
        <v>1412.7150902280782</v>
      </c>
    </row>
    <row r="11" spans="1:9" x14ac:dyDescent="0.25">
      <c r="A11" t="s">
        <v>144</v>
      </c>
      <c r="B11" t="s">
        <v>365</v>
      </c>
      <c r="C11" t="s">
        <v>586</v>
      </c>
      <c r="D11" t="s">
        <v>807</v>
      </c>
      <c r="E11">
        <v>914</v>
      </c>
      <c r="F11">
        <f t="shared" si="0"/>
        <v>30.232432915661949</v>
      </c>
      <c r="G11">
        <f t="shared" si="1"/>
        <v>4.3040615682843744E-2</v>
      </c>
      <c r="H11" s="3">
        <f t="shared" si="2"/>
        <v>796.25139013260923</v>
      </c>
    </row>
    <row r="12" spans="1:9" x14ac:dyDescent="0.25">
      <c r="A12" t="s">
        <v>156</v>
      </c>
      <c r="B12" t="s">
        <v>377</v>
      </c>
      <c r="C12" t="s">
        <v>598</v>
      </c>
      <c r="D12" t="s">
        <v>819</v>
      </c>
      <c r="E12">
        <v>3051.8</v>
      </c>
      <c r="F12">
        <f t="shared" si="0"/>
        <v>55.243099116541245</v>
      </c>
      <c r="G12">
        <f t="shared" si="1"/>
        <v>7.8647226468251827E-2</v>
      </c>
      <c r="H12" s="3">
        <f t="shared" si="2"/>
        <v>1454.9736896626589</v>
      </c>
    </row>
    <row r="13" spans="1:9" x14ac:dyDescent="0.25">
      <c r="A13" t="s">
        <v>179</v>
      </c>
      <c r="B13" t="s">
        <v>400</v>
      </c>
      <c r="C13" t="s">
        <v>621</v>
      </c>
      <c r="D13" t="s">
        <v>842</v>
      </c>
      <c r="E13">
        <v>4061.5</v>
      </c>
      <c r="F13">
        <f t="shared" si="0"/>
        <v>63.729898791697451</v>
      </c>
      <c r="G13">
        <f t="shared" si="1"/>
        <v>9.072951849597842E-2</v>
      </c>
      <c r="H13" s="3">
        <f t="shared" si="2"/>
        <v>1678.4960921756008</v>
      </c>
    </row>
    <row r="14" spans="1:9" x14ac:dyDescent="0.25">
      <c r="A14" t="s">
        <v>199</v>
      </c>
      <c r="B14" t="s">
        <v>420</v>
      </c>
      <c r="C14" t="s">
        <v>641</v>
      </c>
      <c r="D14" t="s">
        <v>862</v>
      </c>
      <c r="E14">
        <v>1995.6</v>
      </c>
      <c r="F14">
        <f t="shared" si="0"/>
        <v>44.672138968265216</v>
      </c>
      <c r="G14">
        <f t="shared" si="1"/>
        <v>6.3597804729358234E-2</v>
      </c>
      <c r="H14" s="3">
        <f t="shared" si="2"/>
        <v>1176.5593874931274</v>
      </c>
    </row>
    <row r="15" spans="1:9" x14ac:dyDescent="0.25">
      <c r="A15" t="s">
        <v>213</v>
      </c>
      <c r="B15" t="s">
        <v>434</v>
      </c>
      <c r="C15" t="s">
        <v>655</v>
      </c>
      <c r="D15" t="s">
        <v>876</v>
      </c>
      <c r="E15">
        <v>3040.8</v>
      </c>
      <c r="F15">
        <f t="shared" si="0"/>
        <v>55.143449293637772</v>
      </c>
      <c r="G15">
        <f t="shared" si="1"/>
        <v>7.8505359297243241E-2</v>
      </c>
      <c r="H15" s="3">
        <f t="shared" si="2"/>
        <v>1452.3491469989999</v>
      </c>
    </row>
    <row r="16" spans="1:9" x14ac:dyDescent="0.25">
      <c r="F16">
        <f>SUM(F2:F15)</f>
        <v>702.41636733167798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38AC-48D2-5D45-A08A-96E03368F0F8}">
  <sheetPr filterMode="1"/>
  <dimension ref="A1:E222"/>
  <sheetViews>
    <sheetView workbookViewId="0">
      <selection activeCell="F66" sqref="F66"/>
    </sheetView>
  </sheetViews>
  <sheetFormatPr defaultColWidth="8.85546875" defaultRowHeight="15" x14ac:dyDescent="0.25"/>
  <cols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 t="s">
        <v>226</v>
      </c>
      <c r="C2" t="s">
        <v>447</v>
      </c>
      <c r="D2" t="s">
        <v>668</v>
      </c>
      <c r="E2">
        <v>36799.800000000003</v>
      </c>
    </row>
    <row r="3" spans="1:5" x14ac:dyDescent="0.25">
      <c r="A3" t="s">
        <v>6</v>
      </c>
      <c r="B3" t="s">
        <v>227</v>
      </c>
      <c r="C3" t="s">
        <v>448</v>
      </c>
      <c r="D3" t="s">
        <v>669</v>
      </c>
      <c r="E3">
        <v>2002.7</v>
      </c>
    </row>
    <row r="4" spans="1:5" hidden="1" x14ac:dyDescent="0.25">
      <c r="A4" t="s">
        <v>7</v>
      </c>
      <c r="B4" t="s">
        <v>228</v>
      </c>
      <c r="C4" t="s">
        <v>449</v>
      </c>
      <c r="D4" t="s">
        <v>670</v>
      </c>
      <c r="E4">
        <v>339.2</v>
      </c>
    </row>
    <row r="5" spans="1:5" hidden="1" x14ac:dyDescent="0.25">
      <c r="A5" t="s">
        <v>8</v>
      </c>
      <c r="B5" t="s">
        <v>229</v>
      </c>
      <c r="C5" t="s">
        <v>450</v>
      </c>
      <c r="D5" t="s">
        <v>671</v>
      </c>
      <c r="E5">
        <v>212.1</v>
      </c>
    </row>
    <row r="6" spans="1:5" hidden="1" x14ac:dyDescent="0.25">
      <c r="A6" t="s">
        <v>9</v>
      </c>
      <c r="B6" t="s">
        <v>230</v>
      </c>
      <c r="C6" t="s">
        <v>451</v>
      </c>
      <c r="D6" t="s">
        <v>672</v>
      </c>
      <c r="E6">
        <v>205.1</v>
      </c>
    </row>
    <row r="7" spans="1:5" hidden="1" x14ac:dyDescent="0.25">
      <c r="A7" t="s">
        <v>10</v>
      </c>
      <c r="B7" t="s">
        <v>231</v>
      </c>
      <c r="C7" t="s">
        <v>452</v>
      </c>
      <c r="D7" t="s">
        <v>673</v>
      </c>
      <c r="E7">
        <v>21.9</v>
      </c>
    </row>
    <row r="8" spans="1:5" hidden="1" x14ac:dyDescent="0.25">
      <c r="A8" t="s">
        <v>11</v>
      </c>
      <c r="B8" t="s">
        <v>232</v>
      </c>
      <c r="C8" t="s">
        <v>453</v>
      </c>
      <c r="D8" t="s">
        <v>674</v>
      </c>
      <c r="E8">
        <v>54.4</v>
      </c>
    </row>
    <row r="9" spans="1:5" hidden="1" x14ac:dyDescent="0.25">
      <c r="A9" t="s">
        <v>12</v>
      </c>
      <c r="B9" t="s">
        <v>233</v>
      </c>
      <c r="C9" t="s">
        <v>454</v>
      </c>
      <c r="D9" t="s">
        <v>675</v>
      </c>
      <c r="E9">
        <v>74.8</v>
      </c>
    </row>
    <row r="10" spans="1:5" hidden="1" x14ac:dyDescent="0.25">
      <c r="A10" t="s">
        <v>13</v>
      </c>
      <c r="B10" t="s">
        <v>234</v>
      </c>
      <c r="C10" t="s">
        <v>455</v>
      </c>
      <c r="D10" t="s">
        <v>676</v>
      </c>
      <c r="E10">
        <v>136</v>
      </c>
    </row>
    <row r="11" spans="1:5" hidden="1" x14ac:dyDescent="0.25">
      <c r="A11" t="s">
        <v>14</v>
      </c>
      <c r="B11" t="s">
        <v>235</v>
      </c>
      <c r="C11" t="s">
        <v>456</v>
      </c>
      <c r="D11" t="s">
        <v>677</v>
      </c>
      <c r="E11">
        <v>53.8</v>
      </c>
    </row>
    <row r="12" spans="1:5" hidden="1" x14ac:dyDescent="0.25">
      <c r="A12" t="s">
        <v>15</v>
      </c>
      <c r="B12" t="s">
        <v>236</v>
      </c>
      <c r="C12" t="s">
        <v>457</v>
      </c>
      <c r="D12" t="s">
        <v>678</v>
      </c>
      <c r="E12">
        <v>33.6</v>
      </c>
    </row>
    <row r="13" spans="1:5" hidden="1" x14ac:dyDescent="0.25">
      <c r="A13" t="s">
        <v>16</v>
      </c>
      <c r="B13" t="s">
        <v>237</v>
      </c>
      <c r="C13" t="s">
        <v>458</v>
      </c>
      <c r="D13" t="s">
        <v>679</v>
      </c>
      <c r="E13">
        <v>53.9</v>
      </c>
    </row>
    <row r="14" spans="1:5" hidden="1" x14ac:dyDescent="0.25">
      <c r="A14" t="s">
        <v>17</v>
      </c>
      <c r="B14" t="s">
        <v>238</v>
      </c>
      <c r="C14" t="s">
        <v>459</v>
      </c>
      <c r="D14" t="s">
        <v>680</v>
      </c>
      <c r="E14">
        <v>76.8</v>
      </c>
    </row>
    <row r="15" spans="1:5" hidden="1" x14ac:dyDescent="0.25">
      <c r="A15" t="s">
        <v>18</v>
      </c>
      <c r="B15" t="s">
        <v>239</v>
      </c>
      <c r="C15" t="s">
        <v>460</v>
      </c>
      <c r="D15" t="s">
        <v>681</v>
      </c>
      <c r="E15">
        <v>38.9</v>
      </c>
    </row>
    <row r="16" spans="1:5" hidden="1" x14ac:dyDescent="0.25">
      <c r="A16" t="s">
        <v>19</v>
      </c>
      <c r="B16" t="s">
        <v>240</v>
      </c>
      <c r="C16" t="s">
        <v>461</v>
      </c>
      <c r="D16" t="s">
        <v>682</v>
      </c>
      <c r="E16">
        <v>228.8</v>
      </c>
    </row>
    <row r="17" spans="1:5" hidden="1" x14ac:dyDescent="0.25">
      <c r="A17" t="s">
        <v>20</v>
      </c>
      <c r="B17" t="s">
        <v>241</v>
      </c>
      <c r="C17" t="s">
        <v>462</v>
      </c>
      <c r="D17" t="s">
        <v>683</v>
      </c>
      <c r="E17">
        <v>128.69999999999999</v>
      </c>
    </row>
    <row r="18" spans="1:5" hidden="1" x14ac:dyDescent="0.25">
      <c r="A18" t="s">
        <v>21</v>
      </c>
      <c r="B18" t="s">
        <v>242</v>
      </c>
      <c r="C18" t="s">
        <v>463</v>
      </c>
      <c r="D18" t="s">
        <v>684</v>
      </c>
      <c r="E18">
        <v>115.7</v>
      </c>
    </row>
    <row r="19" spans="1:5" hidden="1" x14ac:dyDescent="0.25">
      <c r="A19" t="s">
        <v>22</v>
      </c>
      <c r="B19" t="s">
        <v>243</v>
      </c>
      <c r="C19" t="s">
        <v>464</v>
      </c>
      <c r="D19" t="s">
        <v>685</v>
      </c>
      <c r="E19">
        <v>58</v>
      </c>
    </row>
    <row r="20" spans="1:5" hidden="1" x14ac:dyDescent="0.25">
      <c r="A20" t="s">
        <v>23</v>
      </c>
      <c r="B20" t="s">
        <v>244</v>
      </c>
      <c r="C20" t="s">
        <v>465</v>
      </c>
      <c r="D20" t="s">
        <v>686</v>
      </c>
      <c r="E20">
        <v>171</v>
      </c>
    </row>
    <row r="21" spans="1:5" x14ac:dyDescent="0.25">
      <c r="A21" t="s">
        <v>24</v>
      </c>
      <c r="B21" t="s">
        <v>245</v>
      </c>
      <c r="C21" t="s">
        <v>466</v>
      </c>
      <c r="D21" t="s">
        <v>687</v>
      </c>
      <c r="E21">
        <v>3394.4</v>
      </c>
    </row>
    <row r="22" spans="1:5" hidden="1" x14ac:dyDescent="0.25">
      <c r="A22" t="s">
        <v>25</v>
      </c>
      <c r="B22" t="s">
        <v>246</v>
      </c>
      <c r="C22" t="s">
        <v>467</v>
      </c>
      <c r="D22" t="s">
        <v>688</v>
      </c>
      <c r="E22">
        <v>480.8</v>
      </c>
    </row>
    <row r="23" spans="1:5" hidden="1" x14ac:dyDescent="0.25">
      <c r="A23" t="s">
        <v>26</v>
      </c>
      <c r="B23" t="s">
        <v>247</v>
      </c>
      <c r="C23" t="s">
        <v>468</v>
      </c>
      <c r="D23" t="s">
        <v>689</v>
      </c>
      <c r="E23">
        <v>45.8</v>
      </c>
    </row>
    <row r="24" spans="1:5" hidden="1" x14ac:dyDescent="0.25">
      <c r="A24" t="s">
        <v>27</v>
      </c>
      <c r="B24" t="s">
        <v>248</v>
      </c>
      <c r="C24" t="s">
        <v>469</v>
      </c>
      <c r="D24" t="s">
        <v>690</v>
      </c>
      <c r="E24">
        <v>192.1</v>
      </c>
    </row>
    <row r="25" spans="1:5" hidden="1" x14ac:dyDescent="0.25">
      <c r="A25" t="s">
        <v>28</v>
      </c>
      <c r="B25" t="s">
        <v>249</v>
      </c>
      <c r="C25" t="s">
        <v>470</v>
      </c>
      <c r="D25" t="s">
        <v>691</v>
      </c>
      <c r="E25">
        <v>286.10000000000002</v>
      </c>
    </row>
    <row r="26" spans="1:5" hidden="1" x14ac:dyDescent="0.25">
      <c r="A26" t="s">
        <v>29</v>
      </c>
      <c r="B26" t="s">
        <v>250</v>
      </c>
      <c r="C26" t="s">
        <v>471</v>
      </c>
      <c r="D26" t="s">
        <v>692</v>
      </c>
      <c r="E26">
        <v>215.8</v>
      </c>
    </row>
    <row r="27" spans="1:5" hidden="1" x14ac:dyDescent="0.25">
      <c r="A27" t="s">
        <v>30</v>
      </c>
      <c r="B27" t="s">
        <v>251</v>
      </c>
      <c r="C27" t="s">
        <v>472</v>
      </c>
      <c r="D27" t="s">
        <v>693</v>
      </c>
      <c r="E27">
        <v>77.900000000000006</v>
      </c>
    </row>
    <row r="28" spans="1:5" hidden="1" x14ac:dyDescent="0.25">
      <c r="A28" t="s">
        <v>31</v>
      </c>
      <c r="B28" t="s">
        <v>252</v>
      </c>
      <c r="C28" t="s">
        <v>473</v>
      </c>
      <c r="D28" t="s">
        <v>694</v>
      </c>
      <c r="E28">
        <v>153.1</v>
      </c>
    </row>
    <row r="29" spans="1:5" hidden="1" x14ac:dyDescent="0.25">
      <c r="A29" t="s">
        <v>32</v>
      </c>
      <c r="B29" t="s">
        <v>253</v>
      </c>
      <c r="C29" t="s">
        <v>474</v>
      </c>
      <c r="D29" t="s">
        <v>695</v>
      </c>
      <c r="E29">
        <v>198.8</v>
      </c>
    </row>
    <row r="30" spans="1:5" hidden="1" x14ac:dyDescent="0.25">
      <c r="A30" t="s">
        <v>33</v>
      </c>
      <c r="B30" t="s">
        <v>254</v>
      </c>
      <c r="C30" t="s">
        <v>475</v>
      </c>
      <c r="D30" t="s">
        <v>696</v>
      </c>
      <c r="E30">
        <v>255.3</v>
      </c>
    </row>
    <row r="31" spans="1:5" hidden="1" x14ac:dyDescent="0.25">
      <c r="A31" t="s">
        <v>34</v>
      </c>
      <c r="B31" t="s">
        <v>255</v>
      </c>
      <c r="C31" t="s">
        <v>476</v>
      </c>
      <c r="D31" t="s">
        <v>697</v>
      </c>
      <c r="E31">
        <v>63.8</v>
      </c>
    </row>
    <row r="32" spans="1:5" hidden="1" x14ac:dyDescent="0.25">
      <c r="A32" t="s">
        <v>35</v>
      </c>
      <c r="B32" t="s">
        <v>256</v>
      </c>
      <c r="C32" t="s">
        <v>477</v>
      </c>
      <c r="D32" t="s">
        <v>698</v>
      </c>
      <c r="E32">
        <v>230.4</v>
      </c>
    </row>
    <row r="33" spans="1:5" hidden="1" x14ac:dyDescent="0.25">
      <c r="A33" t="s">
        <v>36</v>
      </c>
      <c r="B33" t="s">
        <v>257</v>
      </c>
      <c r="C33" t="s">
        <v>478</v>
      </c>
      <c r="D33" t="s">
        <v>699</v>
      </c>
      <c r="E33">
        <v>355</v>
      </c>
    </row>
    <row r="34" spans="1:5" hidden="1" x14ac:dyDescent="0.25">
      <c r="A34" t="s">
        <v>37</v>
      </c>
      <c r="B34" t="s">
        <v>258</v>
      </c>
      <c r="C34" t="s">
        <v>479</v>
      </c>
      <c r="D34" t="s">
        <v>700</v>
      </c>
      <c r="E34">
        <v>186.4</v>
      </c>
    </row>
    <row r="35" spans="1:5" hidden="1" x14ac:dyDescent="0.25">
      <c r="A35" t="s">
        <v>38</v>
      </c>
      <c r="B35" t="s">
        <v>259</v>
      </c>
      <c r="C35" t="s">
        <v>480</v>
      </c>
      <c r="D35" t="s">
        <v>701</v>
      </c>
      <c r="E35">
        <v>324.39999999999998</v>
      </c>
    </row>
    <row r="36" spans="1:5" hidden="1" x14ac:dyDescent="0.25">
      <c r="A36" t="s">
        <v>39</v>
      </c>
      <c r="B36" t="s">
        <v>260</v>
      </c>
      <c r="C36" t="s">
        <v>481</v>
      </c>
      <c r="D36" t="s">
        <v>702</v>
      </c>
      <c r="E36">
        <v>208.7</v>
      </c>
    </row>
    <row r="37" spans="1:5" hidden="1" x14ac:dyDescent="0.25">
      <c r="A37" t="s">
        <v>40</v>
      </c>
      <c r="B37" t="s">
        <v>261</v>
      </c>
      <c r="C37" t="s">
        <v>482</v>
      </c>
      <c r="D37" t="s">
        <v>703</v>
      </c>
      <c r="E37">
        <v>120</v>
      </c>
    </row>
    <row r="38" spans="1:5" x14ac:dyDescent="0.25">
      <c r="A38" t="s">
        <v>41</v>
      </c>
      <c r="B38" t="s">
        <v>262</v>
      </c>
      <c r="C38" t="s">
        <v>483</v>
      </c>
      <c r="D38" t="s">
        <v>704</v>
      </c>
      <c r="E38">
        <v>2044</v>
      </c>
    </row>
    <row r="39" spans="1:5" hidden="1" x14ac:dyDescent="0.25">
      <c r="A39" t="s">
        <v>42</v>
      </c>
      <c r="B39" t="s">
        <v>263</v>
      </c>
      <c r="C39" t="s">
        <v>484</v>
      </c>
      <c r="D39" t="s">
        <v>705</v>
      </c>
      <c r="E39">
        <v>294.5</v>
      </c>
    </row>
    <row r="40" spans="1:5" hidden="1" x14ac:dyDescent="0.25">
      <c r="A40" t="s">
        <v>43</v>
      </c>
      <c r="B40" t="s">
        <v>264</v>
      </c>
      <c r="C40" t="s">
        <v>485</v>
      </c>
      <c r="D40" t="s">
        <v>706</v>
      </c>
      <c r="E40">
        <v>64.7</v>
      </c>
    </row>
    <row r="41" spans="1:5" hidden="1" x14ac:dyDescent="0.25">
      <c r="A41" t="s">
        <v>44</v>
      </c>
      <c r="B41" t="s">
        <v>265</v>
      </c>
      <c r="C41" t="s">
        <v>486</v>
      </c>
      <c r="D41" t="s">
        <v>707</v>
      </c>
      <c r="E41">
        <v>104.3</v>
      </c>
    </row>
    <row r="42" spans="1:5" hidden="1" x14ac:dyDescent="0.25">
      <c r="A42" t="s">
        <v>45</v>
      </c>
      <c r="B42" t="s">
        <v>266</v>
      </c>
      <c r="C42" t="s">
        <v>487</v>
      </c>
      <c r="D42" t="s">
        <v>708</v>
      </c>
      <c r="E42">
        <v>178.4</v>
      </c>
    </row>
    <row r="43" spans="1:5" hidden="1" x14ac:dyDescent="0.25">
      <c r="A43" t="s">
        <v>46</v>
      </c>
      <c r="B43" t="s">
        <v>267</v>
      </c>
      <c r="C43" t="s">
        <v>488</v>
      </c>
      <c r="D43" t="s">
        <v>709</v>
      </c>
      <c r="E43">
        <v>148.69999999999999</v>
      </c>
    </row>
    <row r="44" spans="1:5" hidden="1" x14ac:dyDescent="0.25">
      <c r="A44" t="s">
        <v>47</v>
      </c>
      <c r="B44" t="s">
        <v>268</v>
      </c>
      <c r="C44" t="s">
        <v>489</v>
      </c>
      <c r="D44" t="s">
        <v>710</v>
      </c>
      <c r="E44">
        <v>322.5</v>
      </c>
    </row>
    <row r="45" spans="1:5" hidden="1" x14ac:dyDescent="0.25">
      <c r="A45" t="s">
        <v>48</v>
      </c>
      <c r="B45" t="s">
        <v>269</v>
      </c>
      <c r="C45" t="s">
        <v>490</v>
      </c>
      <c r="D45" t="s">
        <v>711</v>
      </c>
      <c r="E45">
        <v>84.6</v>
      </c>
    </row>
    <row r="46" spans="1:5" hidden="1" x14ac:dyDescent="0.25">
      <c r="A46" t="s">
        <v>49</v>
      </c>
      <c r="B46" t="s">
        <v>270</v>
      </c>
      <c r="C46" t="s">
        <v>491</v>
      </c>
      <c r="D46" t="s">
        <v>712</v>
      </c>
      <c r="E46">
        <v>171.8</v>
      </c>
    </row>
    <row r="47" spans="1:5" hidden="1" x14ac:dyDescent="0.25">
      <c r="A47" t="s">
        <v>50</v>
      </c>
      <c r="B47" t="s">
        <v>271</v>
      </c>
      <c r="C47" t="s">
        <v>492</v>
      </c>
      <c r="D47" t="s">
        <v>713</v>
      </c>
      <c r="E47">
        <v>19.899999999999999</v>
      </c>
    </row>
    <row r="48" spans="1:5" hidden="1" x14ac:dyDescent="0.25">
      <c r="A48" t="s">
        <v>51</v>
      </c>
      <c r="B48" t="s">
        <v>272</v>
      </c>
      <c r="C48" t="s">
        <v>493</v>
      </c>
      <c r="D48" t="s">
        <v>714</v>
      </c>
      <c r="E48">
        <v>131.19999999999999</v>
      </c>
    </row>
    <row r="49" spans="1:5" hidden="1" x14ac:dyDescent="0.25">
      <c r="A49" t="s">
        <v>52</v>
      </c>
      <c r="B49" t="s">
        <v>273</v>
      </c>
      <c r="C49" t="s">
        <v>494</v>
      </c>
      <c r="D49" t="s">
        <v>715</v>
      </c>
      <c r="E49">
        <v>151.4</v>
      </c>
    </row>
    <row r="50" spans="1:5" hidden="1" x14ac:dyDescent="0.25">
      <c r="A50" t="s">
        <v>53</v>
      </c>
      <c r="B50" t="s">
        <v>274</v>
      </c>
      <c r="C50" t="s">
        <v>495</v>
      </c>
      <c r="D50" t="s">
        <v>716</v>
      </c>
      <c r="E50">
        <v>185.5</v>
      </c>
    </row>
    <row r="51" spans="1:5" hidden="1" x14ac:dyDescent="0.25">
      <c r="A51" t="s">
        <v>54</v>
      </c>
      <c r="B51" t="s">
        <v>275</v>
      </c>
      <c r="C51" t="s">
        <v>496</v>
      </c>
      <c r="D51" t="s">
        <v>717</v>
      </c>
      <c r="E51">
        <v>186.5</v>
      </c>
    </row>
    <row r="52" spans="1:5" x14ac:dyDescent="0.25">
      <c r="A52" t="s">
        <v>55</v>
      </c>
      <c r="B52" t="s">
        <v>276</v>
      </c>
      <c r="C52" t="s">
        <v>497</v>
      </c>
      <c r="D52" t="s">
        <v>718</v>
      </c>
      <c r="E52">
        <v>1507.4</v>
      </c>
    </row>
    <row r="53" spans="1:5" hidden="1" x14ac:dyDescent="0.25">
      <c r="A53" t="s">
        <v>56</v>
      </c>
      <c r="B53" t="s">
        <v>277</v>
      </c>
      <c r="C53" t="s">
        <v>498</v>
      </c>
      <c r="D53" t="s">
        <v>719</v>
      </c>
      <c r="E53">
        <v>195.8</v>
      </c>
    </row>
    <row r="54" spans="1:5" hidden="1" x14ac:dyDescent="0.25">
      <c r="A54" t="s">
        <v>57</v>
      </c>
      <c r="B54" t="s">
        <v>278</v>
      </c>
      <c r="C54" t="s">
        <v>499</v>
      </c>
      <c r="D54" t="s">
        <v>720</v>
      </c>
      <c r="E54">
        <v>48.7</v>
      </c>
    </row>
    <row r="55" spans="1:5" hidden="1" x14ac:dyDescent="0.25">
      <c r="A55" t="s">
        <v>58</v>
      </c>
      <c r="B55" t="s">
        <v>279</v>
      </c>
      <c r="C55" t="s">
        <v>500</v>
      </c>
      <c r="D55" t="s">
        <v>721</v>
      </c>
      <c r="E55">
        <v>170.6</v>
      </c>
    </row>
    <row r="56" spans="1:5" hidden="1" x14ac:dyDescent="0.25">
      <c r="A56" t="s">
        <v>59</v>
      </c>
      <c r="B56" t="s">
        <v>280</v>
      </c>
      <c r="C56" t="s">
        <v>501</v>
      </c>
      <c r="D56" t="s">
        <v>722</v>
      </c>
      <c r="E56">
        <v>186.9</v>
      </c>
    </row>
    <row r="57" spans="1:5" hidden="1" x14ac:dyDescent="0.25">
      <c r="A57" t="s">
        <v>60</v>
      </c>
      <c r="B57" t="s">
        <v>281</v>
      </c>
      <c r="C57" t="s">
        <v>502</v>
      </c>
      <c r="D57" t="s">
        <v>723</v>
      </c>
      <c r="E57">
        <v>243.1</v>
      </c>
    </row>
    <row r="58" spans="1:5" hidden="1" x14ac:dyDescent="0.25">
      <c r="A58" t="s">
        <v>61</v>
      </c>
      <c r="B58" t="s">
        <v>282</v>
      </c>
      <c r="C58" t="s">
        <v>503</v>
      </c>
      <c r="D58" t="s">
        <v>724</v>
      </c>
      <c r="E58">
        <v>70</v>
      </c>
    </row>
    <row r="59" spans="1:5" hidden="1" x14ac:dyDescent="0.25">
      <c r="A59" t="s">
        <v>62</v>
      </c>
      <c r="B59" t="s">
        <v>283</v>
      </c>
      <c r="C59" t="s">
        <v>504</v>
      </c>
      <c r="D59" t="s">
        <v>725</v>
      </c>
      <c r="E59">
        <v>179.5</v>
      </c>
    </row>
    <row r="60" spans="1:5" hidden="1" x14ac:dyDescent="0.25">
      <c r="A60" t="s">
        <v>63</v>
      </c>
      <c r="B60" t="s">
        <v>284</v>
      </c>
      <c r="C60" t="s">
        <v>505</v>
      </c>
      <c r="D60" t="s">
        <v>726</v>
      </c>
      <c r="E60">
        <v>94.6</v>
      </c>
    </row>
    <row r="61" spans="1:5" hidden="1" x14ac:dyDescent="0.25">
      <c r="A61" t="s">
        <v>64</v>
      </c>
      <c r="B61" t="s">
        <v>285</v>
      </c>
      <c r="C61" t="s">
        <v>506</v>
      </c>
      <c r="D61" t="s">
        <v>727</v>
      </c>
      <c r="E61">
        <v>55.4</v>
      </c>
    </row>
    <row r="62" spans="1:5" hidden="1" x14ac:dyDescent="0.25">
      <c r="A62" t="s">
        <v>65</v>
      </c>
      <c r="B62" t="s">
        <v>286</v>
      </c>
      <c r="C62" t="s">
        <v>507</v>
      </c>
      <c r="D62" t="s">
        <v>728</v>
      </c>
      <c r="E62">
        <v>53.7</v>
      </c>
    </row>
    <row r="63" spans="1:5" hidden="1" x14ac:dyDescent="0.25">
      <c r="A63" t="s">
        <v>66</v>
      </c>
      <c r="B63" t="s">
        <v>287</v>
      </c>
      <c r="C63" t="s">
        <v>508</v>
      </c>
      <c r="D63" t="s">
        <v>729</v>
      </c>
      <c r="E63">
        <v>80.900000000000006</v>
      </c>
    </row>
    <row r="64" spans="1:5" hidden="1" x14ac:dyDescent="0.25">
      <c r="A64" t="s">
        <v>67</v>
      </c>
      <c r="B64" t="s">
        <v>288</v>
      </c>
      <c r="C64" t="s">
        <v>509</v>
      </c>
      <c r="D64" t="s">
        <v>730</v>
      </c>
      <c r="E64">
        <v>98.4</v>
      </c>
    </row>
    <row r="65" spans="1:5" hidden="1" x14ac:dyDescent="0.25">
      <c r="A65" t="s">
        <v>68</v>
      </c>
      <c r="B65" t="s">
        <v>289</v>
      </c>
      <c r="C65" t="s">
        <v>510</v>
      </c>
      <c r="D65" t="s">
        <v>731</v>
      </c>
      <c r="E65">
        <v>29.8</v>
      </c>
    </row>
    <row r="66" spans="1:5" x14ac:dyDescent="0.25">
      <c r="A66" t="s">
        <v>69</v>
      </c>
      <c r="B66" t="s">
        <v>290</v>
      </c>
      <c r="C66" t="s">
        <v>511</v>
      </c>
      <c r="D66" t="s">
        <v>732</v>
      </c>
      <c r="E66">
        <v>3560.6</v>
      </c>
    </row>
    <row r="67" spans="1:5" hidden="1" x14ac:dyDescent="0.25">
      <c r="A67" t="s">
        <v>70</v>
      </c>
      <c r="B67" t="s">
        <v>291</v>
      </c>
      <c r="C67" t="s">
        <v>512</v>
      </c>
      <c r="D67" t="s">
        <v>733</v>
      </c>
      <c r="E67">
        <v>295.60000000000002</v>
      </c>
    </row>
    <row r="68" spans="1:5" hidden="1" x14ac:dyDescent="0.25">
      <c r="A68" t="s">
        <v>71</v>
      </c>
      <c r="B68" t="s">
        <v>292</v>
      </c>
      <c r="C68" t="s">
        <v>513</v>
      </c>
      <c r="D68" t="s">
        <v>734</v>
      </c>
      <c r="E68">
        <v>147.19999999999999</v>
      </c>
    </row>
    <row r="69" spans="1:5" hidden="1" x14ac:dyDescent="0.25">
      <c r="A69" t="s">
        <v>72</v>
      </c>
      <c r="B69" t="s">
        <v>293</v>
      </c>
      <c r="C69" t="s">
        <v>514</v>
      </c>
      <c r="D69" t="s">
        <v>735</v>
      </c>
      <c r="E69">
        <v>188.7</v>
      </c>
    </row>
    <row r="70" spans="1:5" hidden="1" x14ac:dyDescent="0.25">
      <c r="A70" t="s">
        <v>73</v>
      </c>
      <c r="B70" t="s">
        <v>294</v>
      </c>
      <c r="C70" t="s">
        <v>515</v>
      </c>
      <c r="D70" t="s">
        <v>736</v>
      </c>
      <c r="E70">
        <v>222.2</v>
      </c>
    </row>
    <row r="71" spans="1:5" hidden="1" x14ac:dyDescent="0.25">
      <c r="A71" t="s">
        <v>74</v>
      </c>
      <c r="B71" t="s">
        <v>295</v>
      </c>
      <c r="C71" t="s">
        <v>516</v>
      </c>
      <c r="D71" t="s">
        <v>737</v>
      </c>
      <c r="E71">
        <v>159.5</v>
      </c>
    </row>
    <row r="72" spans="1:5" hidden="1" x14ac:dyDescent="0.25">
      <c r="A72" t="s">
        <v>75</v>
      </c>
      <c r="B72" t="s">
        <v>296</v>
      </c>
      <c r="C72" t="s">
        <v>517</v>
      </c>
      <c r="D72" t="s">
        <v>738</v>
      </c>
      <c r="E72">
        <v>293.10000000000002</v>
      </c>
    </row>
    <row r="73" spans="1:5" hidden="1" x14ac:dyDescent="0.25">
      <c r="A73" t="s">
        <v>76</v>
      </c>
      <c r="B73" t="s">
        <v>297</v>
      </c>
      <c r="C73" t="s">
        <v>518</v>
      </c>
      <c r="D73" t="s">
        <v>739</v>
      </c>
      <c r="E73">
        <v>272.10000000000002</v>
      </c>
    </row>
    <row r="74" spans="1:5" hidden="1" x14ac:dyDescent="0.25">
      <c r="A74" t="s">
        <v>77</v>
      </c>
      <c r="B74" t="s">
        <v>298</v>
      </c>
      <c r="C74" t="s">
        <v>519</v>
      </c>
      <c r="D74" t="s">
        <v>740</v>
      </c>
      <c r="E74">
        <v>312.10000000000002</v>
      </c>
    </row>
    <row r="75" spans="1:5" hidden="1" x14ac:dyDescent="0.25">
      <c r="A75" t="s">
        <v>78</v>
      </c>
      <c r="B75" t="s">
        <v>299</v>
      </c>
      <c r="C75" t="s">
        <v>520</v>
      </c>
      <c r="D75" t="s">
        <v>741</v>
      </c>
      <c r="E75">
        <v>282</v>
      </c>
    </row>
    <row r="76" spans="1:5" hidden="1" x14ac:dyDescent="0.25">
      <c r="A76" t="s">
        <v>79</v>
      </c>
      <c r="B76" t="s">
        <v>300</v>
      </c>
      <c r="C76" t="s">
        <v>521</v>
      </c>
      <c r="D76" t="s">
        <v>742</v>
      </c>
      <c r="E76">
        <v>129.6</v>
      </c>
    </row>
    <row r="77" spans="1:5" hidden="1" x14ac:dyDescent="0.25">
      <c r="A77" t="s">
        <v>80</v>
      </c>
      <c r="B77" t="s">
        <v>301</v>
      </c>
      <c r="C77" t="s">
        <v>522</v>
      </c>
      <c r="D77" t="s">
        <v>743</v>
      </c>
      <c r="E77">
        <v>93.4</v>
      </c>
    </row>
    <row r="78" spans="1:5" hidden="1" x14ac:dyDescent="0.25">
      <c r="A78" t="s">
        <v>81</v>
      </c>
      <c r="B78" t="s">
        <v>302</v>
      </c>
      <c r="C78" t="s">
        <v>523</v>
      </c>
      <c r="D78" t="s">
        <v>744</v>
      </c>
      <c r="E78">
        <v>166.6</v>
      </c>
    </row>
    <row r="79" spans="1:5" hidden="1" x14ac:dyDescent="0.25">
      <c r="A79" t="s">
        <v>82</v>
      </c>
      <c r="B79" t="s">
        <v>303</v>
      </c>
      <c r="C79" t="s">
        <v>524</v>
      </c>
      <c r="D79" t="s">
        <v>745</v>
      </c>
      <c r="E79">
        <v>213</v>
      </c>
    </row>
    <row r="80" spans="1:5" hidden="1" x14ac:dyDescent="0.25">
      <c r="A80" t="s">
        <v>83</v>
      </c>
      <c r="B80" t="s">
        <v>304</v>
      </c>
      <c r="C80" t="s">
        <v>525</v>
      </c>
      <c r="D80" t="s">
        <v>746</v>
      </c>
      <c r="E80">
        <v>267.89999999999998</v>
      </c>
    </row>
    <row r="81" spans="1:5" hidden="1" x14ac:dyDescent="0.25">
      <c r="A81" t="s">
        <v>84</v>
      </c>
      <c r="B81" t="s">
        <v>305</v>
      </c>
      <c r="C81" t="s">
        <v>526</v>
      </c>
      <c r="D81" t="s">
        <v>747</v>
      </c>
      <c r="E81">
        <v>235.1</v>
      </c>
    </row>
    <row r="82" spans="1:5" hidden="1" x14ac:dyDescent="0.25">
      <c r="A82" t="s">
        <v>85</v>
      </c>
      <c r="B82" t="s">
        <v>306</v>
      </c>
      <c r="C82" t="s">
        <v>527</v>
      </c>
      <c r="D82" t="s">
        <v>748</v>
      </c>
      <c r="E82">
        <v>282.5</v>
      </c>
    </row>
    <row r="83" spans="1:5" x14ac:dyDescent="0.25">
      <c r="A83" t="s">
        <v>86</v>
      </c>
      <c r="B83" t="s">
        <v>307</v>
      </c>
      <c r="C83" t="s">
        <v>528</v>
      </c>
      <c r="D83" t="s">
        <v>749</v>
      </c>
      <c r="E83">
        <v>1075.3</v>
      </c>
    </row>
    <row r="84" spans="1:5" hidden="1" x14ac:dyDescent="0.25">
      <c r="A84" t="s">
        <v>87</v>
      </c>
      <c r="B84" t="s">
        <v>308</v>
      </c>
      <c r="C84" t="s">
        <v>529</v>
      </c>
      <c r="D84" t="s">
        <v>750</v>
      </c>
      <c r="E84">
        <v>161.30000000000001</v>
      </c>
    </row>
    <row r="85" spans="1:5" hidden="1" x14ac:dyDescent="0.25">
      <c r="A85" t="s">
        <v>88</v>
      </c>
      <c r="B85" t="s">
        <v>309</v>
      </c>
      <c r="C85" t="s">
        <v>530</v>
      </c>
      <c r="D85" t="s">
        <v>751</v>
      </c>
      <c r="E85">
        <v>88.4</v>
      </c>
    </row>
    <row r="86" spans="1:5" hidden="1" x14ac:dyDescent="0.25">
      <c r="A86" t="s">
        <v>89</v>
      </c>
      <c r="B86" t="s">
        <v>310</v>
      </c>
      <c r="C86" t="s">
        <v>531</v>
      </c>
      <c r="D86" t="s">
        <v>752</v>
      </c>
      <c r="E86">
        <v>9.1999999999999993</v>
      </c>
    </row>
    <row r="87" spans="1:5" hidden="1" x14ac:dyDescent="0.25">
      <c r="A87" t="s">
        <v>90</v>
      </c>
      <c r="B87" t="s">
        <v>311</v>
      </c>
      <c r="C87" t="s">
        <v>532</v>
      </c>
      <c r="D87" t="s">
        <v>753</v>
      </c>
      <c r="E87">
        <v>37.4</v>
      </c>
    </row>
    <row r="88" spans="1:5" hidden="1" x14ac:dyDescent="0.25">
      <c r="A88" t="s">
        <v>91</v>
      </c>
      <c r="B88" t="s">
        <v>312</v>
      </c>
      <c r="C88" t="s">
        <v>533</v>
      </c>
      <c r="D88" t="s">
        <v>754</v>
      </c>
      <c r="E88">
        <v>161.80000000000001</v>
      </c>
    </row>
    <row r="89" spans="1:5" hidden="1" x14ac:dyDescent="0.25">
      <c r="A89" t="s">
        <v>92</v>
      </c>
      <c r="B89" t="s">
        <v>313</v>
      </c>
      <c r="C89" t="s">
        <v>534</v>
      </c>
      <c r="D89" t="s">
        <v>755</v>
      </c>
      <c r="E89">
        <v>120.8</v>
      </c>
    </row>
    <row r="90" spans="1:5" hidden="1" x14ac:dyDescent="0.25">
      <c r="A90" t="s">
        <v>93</v>
      </c>
      <c r="B90" t="s">
        <v>314</v>
      </c>
      <c r="C90" t="s">
        <v>535</v>
      </c>
      <c r="D90" t="s">
        <v>756</v>
      </c>
      <c r="E90">
        <v>138.80000000000001</v>
      </c>
    </row>
    <row r="91" spans="1:5" hidden="1" x14ac:dyDescent="0.25">
      <c r="A91" t="s">
        <v>94</v>
      </c>
      <c r="B91" t="s">
        <v>315</v>
      </c>
      <c r="C91" t="s">
        <v>536</v>
      </c>
      <c r="D91" t="s">
        <v>757</v>
      </c>
      <c r="E91">
        <v>89.6</v>
      </c>
    </row>
    <row r="92" spans="1:5" hidden="1" x14ac:dyDescent="0.25">
      <c r="A92" t="s">
        <v>95</v>
      </c>
      <c r="B92" t="s">
        <v>316</v>
      </c>
      <c r="C92" t="s">
        <v>537</v>
      </c>
      <c r="D92" t="s">
        <v>758</v>
      </c>
      <c r="E92">
        <v>15.5</v>
      </c>
    </row>
    <row r="93" spans="1:5" hidden="1" x14ac:dyDescent="0.25">
      <c r="A93" t="s">
        <v>96</v>
      </c>
      <c r="B93" t="s">
        <v>317</v>
      </c>
      <c r="C93" t="s">
        <v>538</v>
      </c>
      <c r="D93" t="s">
        <v>759</v>
      </c>
      <c r="E93">
        <v>39.299999999999997</v>
      </c>
    </row>
    <row r="94" spans="1:5" hidden="1" x14ac:dyDescent="0.25">
      <c r="A94" t="s">
        <v>97</v>
      </c>
      <c r="B94" t="s">
        <v>318</v>
      </c>
      <c r="C94" t="s">
        <v>539</v>
      </c>
      <c r="D94" t="s">
        <v>760</v>
      </c>
      <c r="E94">
        <v>213.2</v>
      </c>
    </row>
    <row r="95" spans="1:5" x14ac:dyDescent="0.25">
      <c r="A95" t="s">
        <v>98</v>
      </c>
      <c r="B95" t="s">
        <v>319</v>
      </c>
      <c r="C95" t="s">
        <v>540</v>
      </c>
      <c r="D95" t="s">
        <v>761</v>
      </c>
      <c r="E95">
        <v>3066.1</v>
      </c>
    </row>
    <row r="96" spans="1:5" hidden="1" x14ac:dyDescent="0.25">
      <c r="A96" t="s">
        <v>99</v>
      </c>
      <c r="B96" t="s">
        <v>320</v>
      </c>
      <c r="C96" t="s">
        <v>541</v>
      </c>
      <c r="D96" t="s">
        <v>762</v>
      </c>
      <c r="E96">
        <v>696.5</v>
      </c>
    </row>
    <row r="97" spans="1:5" hidden="1" x14ac:dyDescent="0.25">
      <c r="A97" t="s">
        <v>100</v>
      </c>
      <c r="B97" t="s">
        <v>321</v>
      </c>
      <c r="C97" t="s">
        <v>542</v>
      </c>
      <c r="D97" t="s">
        <v>763</v>
      </c>
      <c r="E97">
        <v>136.9</v>
      </c>
    </row>
    <row r="98" spans="1:5" hidden="1" x14ac:dyDescent="0.25">
      <c r="A98" t="s">
        <v>101</v>
      </c>
      <c r="B98" t="s">
        <v>322</v>
      </c>
      <c r="C98" t="s">
        <v>543</v>
      </c>
      <c r="D98" t="s">
        <v>764</v>
      </c>
      <c r="E98">
        <v>227.9</v>
      </c>
    </row>
    <row r="99" spans="1:5" hidden="1" x14ac:dyDescent="0.25">
      <c r="A99" t="s">
        <v>102</v>
      </c>
      <c r="B99" t="s">
        <v>323</v>
      </c>
      <c r="C99" t="s">
        <v>544</v>
      </c>
      <c r="D99" t="s">
        <v>765</v>
      </c>
      <c r="E99">
        <v>192.7</v>
      </c>
    </row>
    <row r="100" spans="1:5" hidden="1" x14ac:dyDescent="0.25">
      <c r="A100" t="s">
        <v>103</v>
      </c>
      <c r="B100" t="s">
        <v>324</v>
      </c>
      <c r="C100" t="s">
        <v>545</v>
      </c>
      <c r="D100" t="s">
        <v>766</v>
      </c>
      <c r="E100">
        <v>175.8</v>
      </c>
    </row>
    <row r="101" spans="1:5" hidden="1" x14ac:dyDescent="0.25">
      <c r="A101" t="s">
        <v>104</v>
      </c>
      <c r="B101" t="s">
        <v>325</v>
      </c>
      <c r="C101" t="s">
        <v>546</v>
      </c>
      <c r="D101" t="s">
        <v>767</v>
      </c>
      <c r="E101">
        <v>235.7</v>
      </c>
    </row>
    <row r="102" spans="1:5" hidden="1" x14ac:dyDescent="0.25">
      <c r="A102" t="s">
        <v>105</v>
      </c>
      <c r="B102" t="s">
        <v>326</v>
      </c>
      <c r="C102" t="s">
        <v>547</v>
      </c>
      <c r="D102" t="s">
        <v>768</v>
      </c>
      <c r="E102">
        <v>245.2</v>
      </c>
    </row>
    <row r="103" spans="1:5" hidden="1" x14ac:dyDescent="0.25">
      <c r="A103" t="s">
        <v>106</v>
      </c>
      <c r="B103" t="s">
        <v>327</v>
      </c>
      <c r="C103" t="s">
        <v>548</v>
      </c>
      <c r="D103" t="s">
        <v>769</v>
      </c>
      <c r="E103">
        <v>232.4</v>
      </c>
    </row>
    <row r="104" spans="1:5" hidden="1" x14ac:dyDescent="0.25">
      <c r="A104" t="s">
        <v>107</v>
      </c>
      <c r="B104" t="s">
        <v>328</v>
      </c>
      <c r="C104" t="s">
        <v>549</v>
      </c>
      <c r="D104" t="s">
        <v>770</v>
      </c>
      <c r="E104">
        <v>185.4</v>
      </c>
    </row>
    <row r="105" spans="1:5" hidden="1" x14ac:dyDescent="0.25">
      <c r="A105" t="s">
        <v>108</v>
      </c>
      <c r="B105" t="s">
        <v>329</v>
      </c>
      <c r="C105" t="s">
        <v>550</v>
      </c>
      <c r="D105" t="s">
        <v>771</v>
      </c>
      <c r="E105">
        <v>214.9</v>
      </c>
    </row>
    <row r="106" spans="1:5" hidden="1" x14ac:dyDescent="0.25">
      <c r="A106" t="s">
        <v>109</v>
      </c>
      <c r="B106" t="s">
        <v>330</v>
      </c>
      <c r="C106" t="s">
        <v>551</v>
      </c>
      <c r="D106" t="s">
        <v>772</v>
      </c>
      <c r="E106">
        <v>285.60000000000002</v>
      </c>
    </row>
    <row r="107" spans="1:5" hidden="1" x14ac:dyDescent="0.25">
      <c r="A107" t="s">
        <v>110</v>
      </c>
      <c r="B107" t="s">
        <v>331</v>
      </c>
      <c r="C107" t="s">
        <v>552</v>
      </c>
      <c r="D107" t="s">
        <v>773</v>
      </c>
      <c r="E107">
        <v>237.1</v>
      </c>
    </row>
    <row r="108" spans="1:5" x14ac:dyDescent="0.25">
      <c r="A108" t="s">
        <v>111</v>
      </c>
      <c r="B108" t="s">
        <v>332</v>
      </c>
      <c r="C108" t="s">
        <v>553</v>
      </c>
      <c r="D108" t="s">
        <v>774</v>
      </c>
      <c r="E108">
        <v>4208.5</v>
      </c>
    </row>
    <row r="109" spans="1:5" hidden="1" x14ac:dyDescent="0.25">
      <c r="A109" t="s">
        <v>112</v>
      </c>
      <c r="B109" t="s">
        <v>333</v>
      </c>
      <c r="C109" t="s">
        <v>554</v>
      </c>
      <c r="D109" t="s">
        <v>775</v>
      </c>
      <c r="E109">
        <v>585.20000000000005</v>
      </c>
    </row>
    <row r="110" spans="1:5" hidden="1" x14ac:dyDescent="0.25">
      <c r="A110" t="s">
        <v>113</v>
      </c>
      <c r="B110" t="s">
        <v>334</v>
      </c>
      <c r="C110" t="s">
        <v>555</v>
      </c>
      <c r="D110" t="s">
        <v>776</v>
      </c>
      <c r="E110">
        <v>94.9</v>
      </c>
    </row>
    <row r="111" spans="1:5" hidden="1" x14ac:dyDescent="0.25">
      <c r="A111" t="s">
        <v>114</v>
      </c>
      <c r="B111" t="s">
        <v>335</v>
      </c>
      <c r="C111" t="s">
        <v>556</v>
      </c>
      <c r="D111" t="s">
        <v>777</v>
      </c>
      <c r="E111">
        <v>173.2</v>
      </c>
    </row>
    <row r="112" spans="1:5" hidden="1" x14ac:dyDescent="0.25">
      <c r="A112" t="s">
        <v>115</v>
      </c>
      <c r="B112" t="s">
        <v>336</v>
      </c>
      <c r="C112" t="s">
        <v>557</v>
      </c>
      <c r="D112" t="s">
        <v>778</v>
      </c>
      <c r="E112">
        <v>202</v>
      </c>
    </row>
    <row r="113" spans="1:5" hidden="1" x14ac:dyDescent="0.25">
      <c r="A113" t="s">
        <v>116</v>
      </c>
      <c r="B113" t="s">
        <v>337</v>
      </c>
      <c r="C113" t="s">
        <v>558</v>
      </c>
      <c r="D113" t="s">
        <v>779</v>
      </c>
      <c r="E113">
        <v>189.5</v>
      </c>
    </row>
    <row r="114" spans="1:5" hidden="1" x14ac:dyDescent="0.25">
      <c r="A114" t="s">
        <v>117</v>
      </c>
      <c r="B114" t="s">
        <v>338</v>
      </c>
      <c r="C114" t="s">
        <v>559</v>
      </c>
      <c r="D114" t="s">
        <v>780</v>
      </c>
      <c r="E114">
        <v>275.89999999999998</v>
      </c>
    </row>
    <row r="115" spans="1:5" hidden="1" x14ac:dyDescent="0.25">
      <c r="A115" t="s">
        <v>118</v>
      </c>
      <c r="B115" t="s">
        <v>339</v>
      </c>
      <c r="C115" t="s">
        <v>560</v>
      </c>
      <c r="D115" t="s">
        <v>781</v>
      </c>
      <c r="E115">
        <v>293.8</v>
      </c>
    </row>
    <row r="116" spans="1:5" hidden="1" x14ac:dyDescent="0.25">
      <c r="A116" t="s">
        <v>119</v>
      </c>
      <c r="B116" t="s">
        <v>340</v>
      </c>
      <c r="C116" t="s">
        <v>561</v>
      </c>
      <c r="D116" t="s">
        <v>782</v>
      </c>
      <c r="E116">
        <v>141.9</v>
      </c>
    </row>
    <row r="117" spans="1:5" hidden="1" x14ac:dyDescent="0.25">
      <c r="A117" t="s">
        <v>120</v>
      </c>
      <c r="B117" t="s">
        <v>341</v>
      </c>
      <c r="C117" t="s">
        <v>562</v>
      </c>
      <c r="D117" t="s">
        <v>783</v>
      </c>
      <c r="E117">
        <v>227.4</v>
      </c>
    </row>
    <row r="118" spans="1:5" hidden="1" x14ac:dyDescent="0.25">
      <c r="A118" t="s">
        <v>121</v>
      </c>
      <c r="B118" t="s">
        <v>342</v>
      </c>
      <c r="C118" t="s">
        <v>563</v>
      </c>
      <c r="D118" t="s">
        <v>784</v>
      </c>
      <c r="E118">
        <v>273.3</v>
      </c>
    </row>
    <row r="119" spans="1:5" hidden="1" x14ac:dyDescent="0.25">
      <c r="A119" t="s">
        <v>122</v>
      </c>
      <c r="B119" t="s">
        <v>343</v>
      </c>
      <c r="C119" t="s">
        <v>564</v>
      </c>
      <c r="D119" t="s">
        <v>785</v>
      </c>
      <c r="E119">
        <v>383.3</v>
      </c>
    </row>
    <row r="120" spans="1:5" hidden="1" x14ac:dyDescent="0.25">
      <c r="A120" t="s">
        <v>123</v>
      </c>
      <c r="B120" t="s">
        <v>344</v>
      </c>
      <c r="C120" t="s">
        <v>565</v>
      </c>
      <c r="D120" t="s">
        <v>786</v>
      </c>
      <c r="E120">
        <v>152.30000000000001</v>
      </c>
    </row>
    <row r="121" spans="1:5" hidden="1" x14ac:dyDescent="0.25">
      <c r="A121" t="s">
        <v>124</v>
      </c>
      <c r="B121" t="s">
        <v>345</v>
      </c>
      <c r="C121" t="s">
        <v>566</v>
      </c>
      <c r="D121" t="s">
        <v>787</v>
      </c>
      <c r="E121">
        <v>272.8</v>
      </c>
    </row>
    <row r="122" spans="1:5" hidden="1" x14ac:dyDescent="0.25">
      <c r="A122" t="s">
        <v>125</v>
      </c>
      <c r="B122" t="s">
        <v>346</v>
      </c>
      <c r="C122" t="s">
        <v>567</v>
      </c>
      <c r="D122" t="s">
        <v>788</v>
      </c>
      <c r="E122">
        <v>162.69999999999999</v>
      </c>
    </row>
    <row r="123" spans="1:5" hidden="1" x14ac:dyDescent="0.25">
      <c r="A123" t="s">
        <v>126</v>
      </c>
      <c r="B123" t="s">
        <v>347</v>
      </c>
      <c r="C123" t="s">
        <v>568</v>
      </c>
      <c r="D123" t="s">
        <v>789</v>
      </c>
      <c r="E123">
        <v>559.20000000000005</v>
      </c>
    </row>
    <row r="124" spans="1:5" hidden="1" x14ac:dyDescent="0.25">
      <c r="A124" t="s">
        <v>127</v>
      </c>
      <c r="B124" t="s">
        <v>348</v>
      </c>
      <c r="C124" t="s">
        <v>569</v>
      </c>
      <c r="D124" t="s">
        <v>790</v>
      </c>
      <c r="E124">
        <v>221.1</v>
      </c>
    </row>
    <row r="125" spans="1:5" x14ac:dyDescent="0.25">
      <c r="A125" t="s">
        <v>128</v>
      </c>
      <c r="B125" t="s">
        <v>349</v>
      </c>
      <c r="C125" t="s">
        <v>570</v>
      </c>
      <c r="D125" t="s">
        <v>791</v>
      </c>
      <c r="E125">
        <v>2877.1</v>
      </c>
    </row>
    <row r="126" spans="1:5" hidden="1" x14ac:dyDescent="0.25">
      <c r="A126" t="s">
        <v>129</v>
      </c>
      <c r="B126" t="s">
        <v>350</v>
      </c>
      <c r="C126" t="s">
        <v>571</v>
      </c>
      <c r="D126" t="s">
        <v>792</v>
      </c>
      <c r="E126">
        <v>201.6</v>
      </c>
    </row>
    <row r="127" spans="1:5" hidden="1" x14ac:dyDescent="0.25">
      <c r="A127" t="s">
        <v>130</v>
      </c>
      <c r="B127" t="s">
        <v>351</v>
      </c>
      <c r="C127" t="s">
        <v>572</v>
      </c>
      <c r="D127" t="s">
        <v>793</v>
      </c>
      <c r="E127">
        <v>192.6</v>
      </c>
    </row>
    <row r="128" spans="1:5" hidden="1" x14ac:dyDescent="0.25">
      <c r="A128" t="s">
        <v>131</v>
      </c>
      <c r="B128" t="s">
        <v>352</v>
      </c>
      <c r="C128" t="s">
        <v>573</v>
      </c>
      <c r="D128" t="s">
        <v>794</v>
      </c>
      <c r="E128">
        <v>143.80000000000001</v>
      </c>
    </row>
    <row r="129" spans="1:5" hidden="1" x14ac:dyDescent="0.25">
      <c r="A129" t="s">
        <v>132</v>
      </c>
      <c r="B129" t="s">
        <v>353</v>
      </c>
      <c r="C129" t="s">
        <v>574</v>
      </c>
      <c r="D129" t="s">
        <v>795</v>
      </c>
      <c r="E129">
        <v>83</v>
      </c>
    </row>
    <row r="130" spans="1:5" hidden="1" x14ac:dyDescent="0.25">
      <c r="A130" t="s">
        <v>133</v>
      </c>
      <c r="B130" t="s">
        <v>354</v>
      </c>
      <c r="C130" t="s">
        <v>575</v>
      </c>
      <c r="D130" t="s">
        <v>796</v>
      </c>
      <c r="E130">
        <v>124.6</v>
      </c>
    </row>
    <row r="131" spans="1:5" hidden="1" x14ac:dyDescent="0.25">
      <c r="A131" t="s">
        <v>134</v>
      </c>
      <c r="B131" t="s">
        <v>355</v>
      </c>
      <c r="C131" t="s">
        <v>576</v>
      </c>
      <c r="D131" t="s">
        <v>797</v>
      </c>
      <c r="E131">
        <v>153.6</v>
      </c>
    </row>
    <row r="132" spans="1:5" hidden="1" x14ac:dyDescent="0.25">
      <c r="A132" t="s">
        <v>135</v>
      </c>
      <c r="B132" t="s">
        <v>356</v>
      </c>
      <c r="C132" t="s">
        <v>577</v>
      </c>
      <c r="D132" t="s">
        <v>798</v>
      </c>
      <c r="E132">
        <v>420.2</v>
      </c>
    </row>
    <row r="133" spans="1:5" hidden="1" x14ac:dyDescent="0.25">
      <c r="A133" t="s">
        <v>136</v>
      </c>
      <c r="B133" t="s">
        <v>357</v>
      </c>
      <c r="C133" t="s">
        <v>578</v>
      </c>
      <c r="D133" t="s">
        <v>799</v>
      </c>
      <c r="E133">
        <v>238.4</v>
      </c>
    </row>
    <row r="134" spans="1:5" hidden="1" x14ac:dyDescent="0.25">
      <c r="A134" t="s">
        <v>137</v>
      </c>
      <c r="B134" t="s">
        <v>358</v>
      </c>
      <c r="C134" t="s">
        <v>579</v>
      </c>
      <c r="D134" t="s">
        <v>800</v>
      </c>
      <c r="E134">
        <v>255.5</v>
      </c>
    </row>
    <row r="135" spans="1:5" hidden="1" x14ac:dyDescent="0.25">
      <c r="A135" t="s">
        <v>138</v>
      </c>
      <c r="B135" t="s">
        <v>359</v>
      </c>
      <c r="C135" t="s">
        <v>580</v>
      </c>
      <c r="D135" t="s">
        <v>801</v>
      </c>
      <c r="E135">
        <v>124</v>
      </c>
    </row>
    <row r="136" spans="1:5" hidden="1" x14ac:dyDescent="0.25">
      <c r="A136" t="s">
        <v>139</v>
      </c>
      <c r="B136" t="s">
        <v>360</v>
      </c>
      <c r="C136" t="s">
        <v>581</v>
      </c>
      <c r="D136" t="s">
        <v>802</v>
      </c>
      <c r="E136">
        <v>228</v>
      </c>
    </row>
    <row r="137" spans="1:5" hidden="1" x14ac:dyDescent="0.25">
      <c r="A137" t="s">
        <v>140</v>
      </c>
      <c r="B137" t="s">
        <v>361</v>
      </c>
      <c r="C137" t="s">
        <v>582</v>
      </c>
      <c r="D137" t="s">
        <v>803</v>
      </c>
      <c r="E137">
        <v>84.7</v>
      </c>
    </row>
    <row r="138" spans="1:5" hidden="1" x14ac:dyDescent="0.25">
      <c r="A138" t="s">
        <v>141</v>
      </c>
      <c r="B138" t="s">
        <v>362</v>
      </c>
      <c r="C138" t="s">
        <v>583</v>
      </c>
      <c r="D138" t="s">
        <v>804</v>
      </c>
      <c r="E138">
        <v>187.8</v>
      </c>
    </row>
    <row r="139" spans="1:5" hidden="1" x14ac:dyDescent="0.25">
      <c r="A139" t="s">
        <v>142</v>
      </c>
      <c r="B139" t="s">
        <v>363</v>
      </c>
      <c r="C139" t="s">
        <v>584</v>
      </c>
      <c r="D139" t="s">
        <v>805</v>
      </c>
      <c r="E139">
        <v>210.8</v>
      </c>
    </row>
    <row r="140" spans="1:5" hidden="1" x14ac:dyDescent="0.25">
      <c r="A140" t="s">
        <v>143</v>
      </c>
      <c r="B140" t="s">
        <v>364</v>
      </c>
      <c r="C140" t="s">
        <v>585</v>
      </c>
      <c r="D140" t="s">
        <v>806</v>
      </c>
      <c r="E140">
        <v>228.5</v>
      </c>
    </row>
    <row r="141" spans="1:5" x14ac:dyDescent="0.25">
      <c r="A141" t="s">
        <v>144</v>
      </c>
      <c r="B141" t="s">
        <v>365</v>
      </c>
      <c r="C141" t="s">
        <v>586</v>
      </c>
      <c r="D141" t="s">
        <v>807</v>
      </c>
      <c r="E141">
        <v>914</v>
      </c>
    </row>
    <row r="142" spans="1:5" hidden="1" x14ac:dyDescent="0.25">
      <c r="A142" t="s">
        <v>145</v>
      </c>
      <c r="B142" t="s">
        <v>366</v>
      </c>
      <c r="C142" t="s">
        <v>587</v>
      </c>
      <c r="D142" t="s">
        <v>808</v>
      </c>
      <c r="E142">
        <v>99.3</v>
      </c>
    </row>
    <row r="143" spans="1:5" hidden="1" x14ac:dyDescent="0.25">
      <c r="A143" t="s">
        <v>146</v>
      </c>
      <c r="B143" t="s">
        <v>367</v>
      </c>
      <c r="C143" t="s">
        <v>588</v>
      </c>
      <c r="D143" t="s">
        <v>809</v>
      </c>
      <c r="E143">
        <v>19.399999999999999</v>
      </c>
    </row>
    <row r="144" spans="1:5" hidden="1" x14ac:dyDescent="0.25">
      <c r="A144" t="s">
        <v>147</v>
      </c>
      <c r="B144" t="s">
        <v>368</v>
      </c>
      <c r="C144" t="s">
        <v>589</v>
      </c>
      <c r="D144" t="s">
        <v>810</v>
      </c>
      <c r="E144">
        <v>48</v>
      </c>
    </row>
    <row r="145" spans="1:5" hidden="1" x14ac:dyDescent="0.25">
      <c r="A145" t="s">
        <v>148</v>
      </c>
      <c r="B145" t="s">
        <v>369</v>
      </c>
      <c r="C145" t="s">
        <v>590</v>
      </c>
      <c r="D145" t="s">
        <v>811</v>
      </c>
      <c r="E145">
        <v>55.8</v>
      </c>
    </row>
    <row r="146" spans="1:5" hidden="1" x14ac:dyDescent="0.25">
      <c r="A146" t="s">
        <v>149</v>
      </c>
      <c r="B146" t="s">
        <v>370</v>
      </c>
      <c r="C146" t="s">
        <v>591</v>
      </c>
      <c r="D146" t="s">
        <v>812</v>
      </c>
      <c r="E146">
        <v>138.9</v>
      </c>
    </row>
    <row r="147" spans="1:5" hidden="1" x14ac:dyDescent="0.25">
      <c r="A147" t="s">
        <v>150</v>
      </c>
      <c r="B147" t="s">
        <v>371</v>
      </c>
      <c r="C147" t="s">
        <v>592</v>
      </c>
      <c r="D147" t="s">
        <v>813</v>
      </c>
      <c r="E147">
        <v>82.8</v>
      </c>
    </row>
    <row r="148" spans="1:5" hidden="1" x14ac:dyDescent="0.25">
      <c r="A148" t="s">
        <v>151</v>
      </c>
      <c r="B148" t="s">
        <v>372</v>
      </c>
      <c r="C148" t="s">
        <v>593</v>
      </c>
      <c r="D148" t="s">
        <v>814</v>
      </c>
      <c r="E148">
        <v>79.599999999999994</v>
      </c>
    </row>
    <row r="149" spans="1:5" hidden="1" x14ac:dyDescent="0.25">
      <c r="A149" t="s">
        <v>152</v>
      </c>
      <c r="B149" t="s">
        <v>373</v>
      </c>
      <c r="C149" t="s">
        <v>594</v>
      </c>
      <c r="D149" t="s">
        <v>815</v>
      </c>
      <c r="E149">
        <v>70.3</v>
      </c>
    </row>
    <row r="150" spans="1:5" hidden="1" x14ac:dyDescent="0.25">
      <c r="A150" t="s">
        <v>153</v>
      </c>
      <c r="B150" t="s">
        <v>374</v>
      </c>
      <c r="C150" t="s">
        <v>595</v>
      </c>
      <c r="D150" t="s">
        <v>816</v>
      </c>
      <c r="E150">
        <v>80.5</v>
      </c>
    </row>
    <row r="151" spans="1:5" hidden="1" x14ac:dyDescent="0.25">
      <c r="A151" t="s">
        <v>154</v>
      </c>
      <c r="B151" t="s">
        <v>375</v>
      </c>
      <c r="C151" t="s">
        <v>596</v>
      </c>
      <c r="D151" t="s">
        <v>817</v>
      </c>
      <c r="E151">
        <v>137.1</v>
      </c>
    </row>
    <row r="152" spans="1:5" hidden="1" x14ac:dyDescent="0.25">
      <c r="A152" t="s">
        <v>155</v>
      </c>
      <c r="B152" t="s">
        <v>376</v>
      </c>
      <c r="C152" t="s">
        <v>597</v>
      </c>
      <c r="D152" t="s">
        <v>818</v>
      </c>
      <c r="E152">
        <v>102.3</v>
      </c>
    </row>
    <row r="153" spans="1:5" x14ac:dyDescent="0.25">
      <c r="A153" t="s">
        <v>156</v>
      </c>
      <c r="B153" t="s">
        <v>377</v>
      </c>
      <c r="C153" t="s">
        <v>598</v>
      </c>
      <c r="D153" t="s">
        <v>819</v>
      </c>
      <c r="E153">
        <v>3051.8</v>
      </c>
    </row>
    <row r="154" spans="1:5" hidden="1" x14ac:dyDescent="0.25">
      <c r="A154" t="s">
        <v>157</v>
      </c>
      <c r="B154" t="s">
        <v>378</v>
      </c>
      <c r="C154" t="s">
        <v>599</v>
      </c>
      <c r="D154" t="s">
        <v>820</v>
      </c>
      <c r="E154">
        <v>56.2</v>
      </c>
    </row>
    <row r="155" spans="1:5" hidden="1" x14ac:dyDescent="0.25">
      <c r="A155" t="s">
        <v>158</v>
      </c>
      <c r="B155" t="s">
        <v>379</v>
      </c>
      <c r="C155" t="s">
        <v>600</v>
      </c>
      <c r="D155" t="s">
        <v>821</v>
      </c>
      <c r="E155">
        <v>146.6</v>
      </c>
    </row>
    <row r="156" spans="1:5" hidden="1" x14ac:dyDescent="0.25">
      <c r="A156" t="s">
        <v>159</v>
      </c>
      <c r="B156" t="s">
        <v>380</v>
      </c>
      <c r="C156" t="s">
        <v>601</v>
      </c>
      <c r="D156" t="s">
        <v>822</v>
      </c>
      <c r="E156">
        <v>182.4</v>
      </c>
    </row>
    <row r="157" spans="1:5" hidden="1" x14ac:dyDescent="0.25">
      <c r="A157" t="s">
        <v>160</v>
      </c>
      <c r="B157" t="s">
        <v>381</v>
      </c>
      <c r="C157" t="s">
        <v>602</v>
      </c>
      <c r="D157" t="s">
        <v>823</v>
      </c>
      <c r="E157">
        <v>104.3</v>
      </c>
    </row>
    <row r="158" spans="1:5" hidden="1" x14ac:dyDescent="0.25">
      <c r="A158" t="s">
        <v>161</v>
      </c>
      <c r="B158" t="s">
        <v>382</v>
      </c>
      <c r="C158" t="s">
        <v>603</v>
      </c>
      <c r="D158" t="s">
        <v>824</v>
      </c>
      <c r="E158">
        <v>172.9</v>
      </c>
    </row>
    <row r="159" spans="1:5" hidden="1" x14ac:dyDescent="0.25">
      <c r="A159" t="s">
        <v>162</v>
      </c>
      <c r="B159" t="s">
        <v>383</v>
      </c>
      <c r="C159" t="s">
        <v>604</v>
      </c>
      <c r="D159" t="s">
        <v>825</v>
      </c>
      <c r="E159">
        <v>41.4</v>
      </c>
    </row>
    <row r="160" spans="1:5" hidden="1" x14ac:dyDescent="0.25">
      <c r="A160" t="s">
        <v>163</v>
      </c>
      <c r="B160" t="s">
        <v>384</v>
      </c>
      <c r="C160" t="s">
        <v>605</v>
      </c>
      <c r="D160" t="s">
        <v>826</v>
      </c>
      <c r="E160">
        <v>85.5</v>
      </c>
    </row>
    <row r="161" spans="1:5" hidden="1" x14ac:dyDescent="0.25">
      <c r="A161" t="s">
        <v>164</v>
      </c>
      <c r="B161" t="s">
        <v>385</v>
      </c>
      <c r="C161" t="s">
        <v>606</v>
      </c>
      <c r="D161" t="s">
        <v>827</v>
      </c>
      <c r="E161">
        <v>112.1</v>
      </c>
    </row>
    <row r="162" spans="1:5" hidden="1" x14ac:dyDescent="0.25">
      <c r="A162" t="s">
        <v>165</v>
      </c>
      <c r="B162" t="s">
        <v>386</v>
      </c>
      <c r="C162" t="s">
        <v>607</v>
      </c>
      <c r="D162" t="s">
        <v>828</v>
      </c>
      <c r="E162">
        <v>111.2</v>
      </c>
    </row>
    <row r="163" spans="1:5" hidden="1" x14ac:dyDescent="0.25">
      <c r="A163" t="s">
        <v>166</v>
      </c>
      <c r="B163" t="s">
        <v>387</v>
      </c>
      <c r="C163" t="s">
        <v>608</v>
      </c>
      <c r="D163" t="s">
        <v>829</v>
      </c>
      <c r="E163">
        <v>165.7</v>
      </c>
    </row>
    <row r="164" spans="1:5" hidden="1" x14ac:dyDescent="0.25">
      <c r="A164" t="s">
        <v>167</v>
      </c>
      <c r="B164" t="s">
        <v>388</v>
      </c>
      <c r="C164" t="s">
        <v>609</v>
      </c>
      <c r="D164" t="s">
        <v>830</v>
      </c>
      <c r="E164">
        <v>176.7</v>
      </c>
    </row>
    <row r="165" spans="1:5" hidden="1" x14ac:dyDescent="0.25">
      <c r="A165" t="s">
        <v>168</v>
      </c>
      <c r="B165" t="s">
        <v>389</v>
      </c>
      <c r="C165" t="s">
        <v>610</v>
      </c>
      <c r="D165" t="s">
        <v>831</v>
      </c>
      <c r="E165">
        <v>134.4</v>
      </c>
    </row>
    <row r="166" spans="1:5" hidden="1" x14ac:dyDescent="0.25">
      <c r="A166" t="s">
        <v>169</v>
      </c>
      <c r="B166" t="s">
        <v>390</v>
      </c>
      <c r="C166" t="s">
        <v>611</v>
      </c>
      <c r="D166" t="s">
        <v>832</v>
      </c>
      <c r="E166">
        <v>115.9</v>
      </c>
    </row>
    <row r="167" spans="1:5" hidden="1" x14ac:dyDescent="0.25">
      <c r="A167" t="s">
        <v>170</v>
      </c>
      <c r="B167" t="s">
        <v>391</v>
      </c>
      <c r="C167" t="s">
        <v>612</v>
      </c>
      <c r="D167" t="s">
        <v>833</v>
      </c>
      <c r="E167">
        <v>171.2</v>
      </c>
    </row>
    <row r="168" spans="1:5" hidden="1" x14ac:dyDescent="0.25">
      <c r="A168" t="s">
        <v>171</v>
      </c>
      <c r="B168" t="s">
        <v>392</v>
      </c>
      <c r="C168" t="s">
        <v>613</v>
      </c>
      <c r="D168" t="s">
        <v>834</v>
      </c>
      <c r="E168">
        <v>139.19999999999999</v>
      </c>
    </row>
    <row r="169" spans="1:5" hidden="1" x14ac:dyDescent="0.25">
      <c r="A169" t="s">
        <v>172</v>
      </c>
      <c r="B169" t="s">
        <v>393</v>
      </c>
      <c r="C169" t="s">
        <v>614</v>
      </c>
      <c r="D169" t="s">
        <v>835</v>
      </c>
      <c r="E169">
        <v>175.4</v>
      </c>
    </row>
    <row r="170" spans="1:5" hidden="1" x14ac:dyDescent="0.25">
      <c r="A170" t="s">
        <v>173</v>
      </c>
      <c r="B170" t="s">
        <v>394</v>
      </c>
      <c r="C170" t="s">
        <v>615</v>
      </c>
      <c r="D170" t="s">
        <v>836</v>
      </c>
      <c r="E170">
        <v>178.2</v>
      </c>
    </row>
    <row r="171" spans="1:5" hidden="1" x14ac:dyDescent="0.25">
      <c r="A171" t="s">
        <v>174</v>
      </c>
      <c r="B171" t="s">
        <v>395</v>
      </c>
      <c r="C171" t="s">
        <v>616</v>
      </c>
      <c r="D171" t="s">
        <v>837</v>
      </c>
      <c r="E171">
        <v>101.5</v>
      </c>
    </row>
    <row r="172" spans="1:5" hidden="1" x14ac:dyDescent="0.25">
      <c r="A172" t="s">
        <v>175</v>
      </c>
      <c r="B172" t="s">
        <v>396</v>
      </c>
      <c r="C172" t="s">
        <v>617</v>
      </c>
      <c r="D172" t="s">
        <v>838</v>
      </c>
      <c r="E172">
        <v>137</v>
      </c>
    </row>
    <row r="173" spans="1:5" hidden="1" x14ac:dyDescent="0.25">
      <c r="A173" t="s">
        <v>176</v>
      </c>
      <c r="B173" t="s">
        <v>397</v>
      </c>
      <c r="C173" t="s">
        <v>618</v>
      </c>
      <c r="D173" t="s">
        <v>839</v>
      </c>
      <c r="E173">
        <v>145.5</v>
      </c>
    </row>
    <row r="174" spans="1:5" hidden="1" x14ac:dyDescent="0.25">
      <c r="A174" t="s">
        <v>177</v>
      </c>
      <c r="B174" t="s">
        <v>398</v>
      </c>
      <c r="C174" t="s">
        <v>619</v>
      </c>
      <c r="D174" t="s">
        <v>840</v>
      </c>
      <c r="E174">
        <v>200</v>
      </c>
    </row>
    <row r="175" spans="1:5" hidden="1" x14ac:dyDescent="0.25">
      <c r="A175" t="s">
        <v>178</v>
      </c>
      <c r="B175" t="s">
        <v>399</v>
      </c>
      <c r="C175" t="s">
        <v>620</v>
      </c>
      <c r="D175" t="s">
        <v>841</v>
      </c>
      <c r="E175">
        <v>198.5</v>
      </c>
    </row>
    <row r="176" spans="1:5" x14ac:dyDescent="0.25">
      <c r="A176" t="s">
        <v>179</v>
      </c>
      <c r="B176" t="s">
        <v>400</v>
      </c>
      <c r="C176" t="s">
        <v>621</v>
      </c>
      <c r="D176" t="s">
        <v>842</v>
      </c>
      <c r="E176">
        <v>4061.5</v>
      </c>
    </row>
    <row r="177" spans="1:5" hidden="1" x14ac:dyDescent="0.25">
      <c r="A177" t="s">
        <v>180</v>
      </c>
      <c r="B177" t="s">
        <v>401</v>
      </c>
      <c r="C177" t="s">
        <v>622</v>
      </c>
      <c r="D177" t="s">
        <v>843</v>
      </c>
      <c r="E177">
        <v>321.8</v>
      </c>
    </row>
    <row r="178" spans="1:5" hidden="1" x14ac:dyDescent="0.25">
      <c r="A178" t="s">
        <v>181</v>
      </c>
      <c r="B178" t="s">
        <v>402</v>
      </c>
      <c r="C178" t="s">
        <v>623</v>
      </c>
      <c r="D178" t="s">
        <v>844</v>
      </c>
      <c r="E178">
        <v>308.10000000000002</v>
      </c>
    </row>
    <row r="179" spans="1:5" hidden="1" x14ac:dyDescent="0.25">
      <c r="A179" t="s">
        <v>182</v>
      </c>
      <c r="B179" t="s">
        <v>403</v>
      </c>
      <c r="C179" t="s">
        <v>624</v>
      </c>
      <c r="D179" t="s">
        <v>845</v>
      </c>
      <c r="E179">
        <v>101.2</v>
      </c>
    </row>
    <row r="180" spans="1:5" hidden="1" x14ac:dyDescent="0.25">
      <c r="A180" t="s">
        <v>183</v>
      </c>
      <c r="B180" t="s">
        <v>404</v>
      </c>
      <c r="C180" t="s">
        <v>625</v>
      </c>
      <c r="D180" t="s">
        <v>846</v>
      </c>
      <c r="E180">
        <v>253.5</v>
      </c>
    </row>
    <row r="181" spans="1:5" hidden="1" x14ac:dyDescent="0.25">
      <c r="A181" t="s">
        <v>184</v>
      </c>
      <c r="B181" t="s">
        <v>405</v>
      </c>
      <c r="C181" t="s">
        <v>626</v>
      </c>
      <c r="D181" t="s">
        <v>847</v>
      </c>
      <c r="E181">
        <v>228.4</v>
      </c>
    </row>
    <row r="182" spans="1:5" hidden="1" x14ac:dyDescent="0.25">
      <c r="A182" t="s">
        <v>185</v>
      </c>
      <c r="B182" t="s">
        <v>406</v>
      </c>
      <c r="C182" t="s">
        <v>627</v>
      </c>
      <c r="D182" t="s">
        <v>848</v>
      </c>
      <c r="E182">
        <v>208</v>
      </c>
    </row>
    <row r="183" spans="1:5" hidden="1" x14ac:dyDescent="0.25">
      <c r="A183" t="s">
        <v>186</v>
      </c>
      <c r="B183" t="s">
        <v>407</v>
      </c>
      <c r="C183" t="s">
        <v>628</v>
      </c>
      <c r="D183" t="s">
        <v>849</v>
      </c>
      <c r="E183">
        <v>233</v>
      </c>
    </row>
    <row r="184" spans="1:5" hidden="1" x14ac:dyDescent="0.25">
      <c r="A184" t="s">
        <v>187</v>
      </c>
      <c r="B184" t="s">
        <v>408</v>
      </c>
      <c r="C184" t="s">
        <v>629</v>
      </c>
      <c r="D184" t="s">
        <v>850</v>
      </c>
      <c r="E184">
        <v>247.2</v>
      </c>
    </row>
    <row r="185" spans="1:5" hidden="1" x14ac:dyDescent="0.25">
      <c r="A185" t="s">
        <v>188</v>
      </c>
      <c r="B185" t="s">
        <v>409</v>
      </c>
      <c r="C185" t="s">
        <v>630</v>
      </c>
      <c r="D185" t="s">
        <v>851</v>
      </c>
      <c r="E185">
        <v>242.8</v>
      </c>
    </row>
    <row r="186" spans="1:5" hidden="1" x14ac:dyDescent="0.25">
      <c r="A186" t="s">
        <v>189</v>
      </c>
      <c r="B186" t="s">
        <v>410</v>
      </c>
      <c r="C186" t="s">
        <v>631</v>
      </c>
      <c r="D186" t="s">
        <v>852</v>
      </c>
      <c r="E186">
        <v>275.8</v>
      </c>
    </row>
    <row r="187" spans="1:5" hidden="1" x14ac:dyDescent="0.25">
      <c r="A187" t="s">
        <v>190</v>
      </c>
      <c r="B187" t="s">
        <v>411</v>
      </c>
      <c r="C187" t="s">
        <v>632</v>
      </c>
      <c r="D187" t="s">
        <v>853</v>
      </c>
      <c r="E187">
        <v>241.4</v>
      </c>
    </row>
    <row r="188" spans="1:5" hidden="1" x14ac:dyDescent="0.25">
      <c r="A188" t="s">
        <v>191</v>
      </c>
      <c r="B188" t="s">
        <v>412</v>
      </c>
      <c r="C188" t="s">
        <v>633</v>
      </c>
      <c r="D188" t="s">
        <v>854</v>
      </c>
      <c r="E188">
        <v>216.9</v>
      </c>
    </row>
    <row r="189" spans="1:5" hidden="1" x14ac:dyDescent="0.25">
      <c r="A189" t="s">
        <v>192</v>
      </c>
      <c r="B189" t="s">
        <v>413</v>
      </c>
      <c r="C189" t="s">
        <v>634</v>
      </c>
      <c r="D189" t="s">
        <v>855</v>
      </c>
      <c r="E189">
        <v>83.9</v>
      </c>
    </row>
    <row r="190" spans="1:5" hidden="1" x14ac:dyDescent="0.25">
      <c r="A190" t="s">
        <v>193</v>
      </c>
      <c r="B190" t="s">
        <v>414</v>
      </c>
      <c r="C190" t="s">
        <v>635</v>
      </c>
      <c r="D190" t="s">
        <v>856</v>
      </c>
      <c r="E190">
        <v>217.6</v>
      </c>
    </row>
    <row r="191" spans="1:5" hidden="1" x14ac:dyDescent="0.25">
      <c r="A191" t="s">
        <v>194</v>
      </c>
      <c r="B191" t="s">
        <v>415</v>
      </c>
      <c r="C191" t="s">
        <v>636</v>
      </c>
      <c r="D191" t="s">
        <v>857</v>
      </c>
      <c r="E191">
        <v>236.4</v>
      </c>
    </row>
    <row r="192" spans="1:5" hidden="1" x14ac:dyDescent="0.25">
      <c r="A192" t="s">
        <v>195</v>
      </c>
      <c r="B192" t="s">
        <v>416</v>
      </c>
      <c r="C192" t="s">
        <v>637</v>
      </c>
      <c r="D192" t="s">
        <v>858</v>
      </c>
      <c r="E192">
        <v>221.5</v>
      </c>
    </row>
    <row r="193" spans="1:5" hidden="1" x14ac:dyDescent="0.25">
      <c r="A193" t="s">
        <v>196</v>
      </c>
      <c r="B193" t="s">
        <v>417</v>
      </c>
      <c r="C193" t="s">
        <v>638</v>
      </c>
      <c r="D193" t="s">
        <v>859</v>
      </c>
      <c r="E193">
        <v>177.1</v>
      </c>
    </row>
    <row r="194" spans="1:5" hidden="1" x14ac:dyDescent="0.25">
      <c r="A194" t="s">
        <v>197</v>
      </c>
      <c r="B194" t="s">
        <v>418</v>
      </c>
      <c r="C194" t="s">
        <v>639</v>
      </c>
      <c r="D194" t="s">
        <v>860</v>
      </c>
      <c r="E194">
        <v>127.1</v>
      </c>
    </row>
    <row r="195" spans="1:5" hidden="1" x14ac:dyDescent="0.25">
      <c r="A195" t="s">
        <v>198</v>
      </c>
      <c r="B195" t="s">
        <v>419</v>
      </c>
      <c r="C195" t="s">
        <v>640</v>
      </c>
      <c r="D195" t="s">
        <v>861</v>
      </c>
      <c r="E195">
        <v>119.8</v>
      </c>
    </row>
    <row r="196" spans="1:5" x14ac:dyDescent="0.25">
      <c r="A196" t="s">
        <v>199</v>
      </c>
      <c r="B196" t="s">
        <v>420</v>
      </c>
      <c r="C196" t="s">
        <v>641</v>
      </c>
      <c r="D196" t="s">
        <v>862</v>
      </c>
      <c r="E196">
        <v>1995.6</v>
      </c>
    </row>
    <row r="197" spans="1:5" hidden="1" x14ac:dyDescent="0.25">
      <c r="A197" t="s">
        <v>200</v>
      </c>
      <c r="B197" t="s">
        <v>421</v>
      </c>
      <c r="C197" t="s">
        <v>642</v>
      </c>
      <c r="D197" t="s">
        <v>863</v>
      </c>
      <c r="E197">
        <v>153.1</v>
      </c>
    </row>
    <row r="198" spans="1:5" hidden="1" x14ac:dyDescent="0.25">
      <c r="A198" t="s">
        <v>201</v>
      </c>
      <c r="B198" t="s">
        <v>422</v>
      </c>
      <c r="C198" t="s">
        <v>643</v>
      </c>
      <c r="D198" t="s">
        <v>864</v>
      </c>
      <c r="E198">
        <v>98.8</v>
      </c>
    </row>
    <row r="199" spans="1:5" hidden="1" x14ac:dyDescent="0.25">
      <c r="A199" t="s">
        <v>202</v>
      </c>
      <c r="B199" t="s">
        <v>423</v>
      </c>
      <c r="C199" t="s">
        <v>644</v>
      </c>
      <c r="D199" t="s">
        <v>865</v>
      </c>
      <c r="E199">
        <v>176.1</v>
      </c>
    </row>
    <row r="200" spans="1:5" hidden="1" x14ac:dyDescent="0.25">
      <c r="A200" t="s">
        <v>203</v>
      </c>
      <c r="B200" t="s">
        <v>424</v>
      </c>
      <c r="C200" t="s">
        <v>645</v>
      </c>
      <c r="D200" t="s">
        <v>866</v>
      </c>
      <c r="E200">
        <v>157.19999999999999</v>
      </c>
    </row>
    <row r="201" spans="1:5" hidden="1" x14ac:dyDescent="0.25">
      <c r="A201" t="s">
        <v>204</v>
      </c>
      <c r="B201" t="s">
        <v>425</v>
      </c>
      <c r="C201" t="s">
        <v>646</v>
      </c>
      <c r="D201" t="s">
        <v>867</v>
      </c>
      <c r="E201">
        <v>182.3</v>
      </c>
    </row>
    <row r="202" spans="1:5" hidden="1" x14ac:dyDescent="0.25">
      <c r="A202" t="s">
        <v>205</v>
      </c>
      <c r="B202" t="s">
        <v>426</v>
      </c>
      <c r="C202" t="s">
        <v>647</v>
      </c>
      <c r="D202" t="s">
        <v>868</v>
      </c>
      <c r="E202">
        <v>213.5</v>
      </c>
    </row>
    <row r="203" spans="1:5" hidden="1" x14ac:dyDescent="0.25">
      <c r="A203" t="s">
        <v>206</v>
      </c>
      <c r="B203" t="s">
        <v>427</v>
      </c>
      <c r="C203" t="s">
        <v>648</v>
      </c>
      <c r="D203" t="s">
        <v>869</v>
      </c>
      <c r="E203">
        <v>206</v>
      </c>
    </row>
    <row r="204" spans="1:5" hidden="1" x14ac:dyDescent="0.25">
      <c r="A204" t="s">
        <v>207</v>
      </c>
      <c r="B204" t="s">
        <v>428</v>
      </c>
      <c r="C204" t="s">
        <v>649</v>
      </c>
      <c r="D204" t="s">
        <v>870</v>
      </c>
      <c r="E204">
        <v>59.3</v>
      </c>
    </row>
    <row r="205" spans="1:5" hidden="1" x14ac:dyDescent="0.25">
      <c r="A205" t="s">
        <v>208</v>
      </c>
      <c r="B205" t="s">
        <v>429</v>
      </c>
      <c r="C205" t="s">
        <v>650</v>
      </c>
      <c r="D205" t="s">
        <v>871</v>
      </c>
      <c r="E205">
        <v>198.4</v>
      </c>
    </row>
    <row r="206" spans="1:5" hidden="1" x14ac:dyDescent="0.25">
      <c r="A206" t="s">
        <v>209</v>
      </c>
      <c r="B206" t="s">
        <v>430</v>
      </c>
      <c r="C206" t="s">
        <v>651</v>
      </c>
      <c r="D206" t="s">
        <v>872</v>
      </c>
      <c r="E206">
        <v>154.80000000000001</v>
      </c>
    </row>
    <row r="207" spans="1:5" hidden="1" x14ac:dyDescent="0.25">
      <c r="A207" t="s">
        <v>210</v>
      </c>
      <c r="B207" t="s">
        <v>431</v>
      </c>
      <c r="C207" t="s">
        <v>652</v>
      </c>
      <c r="D207" t="s">
        <v>873</v>
      </c>
      <c r="E207">
        <v>180.4</v>
      </c>
    </row>
    <row r="208" spans="1:5" hidden="1" x14ac:dyDescent="0.25">
      <c r="A208" t="s">
        <v>211</v>
      </c>
      <c r="B208" t="s">
        <v>432</v>
      </c>
      <c r="C208" t="s">
        <v>653</v>
      </c>
      <c r="D208" t="s">
        <v>874</v>
      </c>
      <c r="E208">
        <v>123.2</v>
      </c>
    </row>
    <row r="209" spans="1:5" hidden="1" x14ac:dyDescent="0.25">
      <c r="A209" t="s">
        <v>212</v>
      </c>
      <c r="B209" t="s">
        <v>433</v>
      </c>
      <c r="C209" t="s">
        <v>654</v>
      </c>
      <c r="D209" t="s">
        <v>875</v>
      </c>
      <c r="E209">
        <v>92.5</v>
      </c>
    </row>
    <row r="210" spans="1:5" x14ac:dyDescent="0.25">
      <c r="A210" t="s">
        <v>213</v>
      </c>
      <c r="B210" t="s">
        <v>434</v>
      </c>
      <c r="C210" t="s">
        <v>655</v>
      </c>
      <c r="D210" t="s">
        <v>876</v>
      </c>
      <c r="E210">
        <v>3040.8</v>
      </c>
    </row>
    <row r="211" spans="1:5" hidden="1" x14ac:dyDescent="0.25">
      <c r="A211" t="s">
        <v>214</v>
      </c>
      <c r="B211" t="s">
        <v>435</v>
      </c>
      <c r="C211" t="s">
        <v>656</v>
      </c>
      <c r="D211" t="s">
        <v>877</v>
      </c>
      <c r="E211">
        <v>299.39999999999998</v>
      </c>
    </row>
    <row r="212" spans="1:5" hidden="1" x14ac:dyDescent="0.25">
      <c r="A212" t="s">
        <v>215</v>
      </c>
      <c r="B212" t="s">
        <v>436</v>
      </c>
      <c r="C212" t="s">
        <v>657</v>
      </c>
      <c r="D212" t="s">
        <v>878</v>
      </c>
      <c r="E212">
        <v>60.5</v>
      </c>
    </row>
    <row r="213" spans="1:5" hidden="1" x14ac:dyDescent="0.25">
      <c r="A213" t="s">
        <v>216</v>
      </c>
      <c r="B213" t="s">
        <v>437</v>
      </c>
      <c r="C213" t="s">
        <v>658</v>
      </c>
      <c r="D213" t="s">
        <v>879</v>
      </c>
      <c r="E213">
        <v>376.1</v>
      </c>
    </row>
    <row r="214" spans="1:5" hidden="1" x14ac:dyDescent="0.25">
      <c r="A214" t="s">
        <v>217</v>
      </c>
      <c r="B214" t="s">
        <v>438</v>
      </c>
      <c r="C214" t="s">
        <v>659</v>
      </c>
      <c r="D214" t="s">
        <v>880</v>
      </c>
      <c r="E214">
        <v>331.2</v>
      </c>
    </row>
    <row r="215" spans="1:5" hidden="1" x14ac:dyDescent="0.25">
      <c r="A215" t="s">
        <v>218</v>
      </c>
      <c r="B215" t="s">
        <v>439</v>
      </c>
      <c r="C215" t="s">
        <v>660</v>
      </c>
      <c r="D215" t="s">
        <v>881</v>
      </c>
      <c r="E215">
        <v>152.19999999999999</v>
      </c>
    </row>
    <row r="216" spans="1:5" hidden="1" x14ac:dyDescent="0.25">
      <c r="A216" t="s">
        <v>219</v>
      </c>
      <c r="B216" t="s">
        <v>440</v>
      </c>
      <c r="C216" t="s">
        <v>661</v>
      </c>
      <c r="D216" t="s">
        <v>882</v>
      </c>
      <c r="E216">
        <v>365.4</v>
      </c>
    </row>
    <row r="217" spans="1:5" hidden="1" x14ac:dyDescent="0.25">
      <c r="A217" t="s">
        <v>220</v>
      </c>
      <c r="B217" t="s">
        <v>441</v>
      </c>
      <c r="C217" t="s">
        <v>662</v>
      </c>
      <c r="D217" t="s">
        <v>883</v>
      </c>
      <c r="E217">
        <v>404.4</v>
      </c>
    </row>
    <row r="218" spans="1:5" hidden="1" x14ac:dyDescent="0.25">
      <c r="A218" t="s">
        <v>221</v>
      </c>
      <c r="B218" t="s">
        <v>442</v>
      </c>
      <c r="C218" t="s">
        <v>663</v>
      </c>
      <c r="D218" t="s">
        <v>884</v>
      </c>
      <c r="E218">
        <v>168.2</v>
      </c>
    </row>
    <row r="219" spans="1:5" hidden="1" x14ac:dyDescent="0.25">
      <c r="A219" t="s">
        <v>222</v>
      </c>
      <c r="B219" t="s">
        <v>443</v>
      </c>
      <c r="C219" t="s">
        <v>664</v>
      </c>
      <c r="D219" t="s">
        <v>885</v>
      </c>
      <c r="E219">
        <v>133.5</v>
      </c>
    </row>
    <row r="220" spans="1:5" hidden="1" x14ac:dyDescent="0.25">
      <c r="A220" t="s">
        <v>223</v>
      </c>
      <c r="B220" t="s">
        <v>444</v>
      </c>
      <c r="C220" t="s">
        <v>665</v>
      </c>
      <c r="D220" t="s">
        <v>886</v>
      </c>
      <c r="E220">
        <v>300.10000000000002</v>
      </c>
    </row>
    <row r="221" spans="1:5" hidden="1" x14ac:dyDescent="0.25">
      <c r="A221" t="s">
        <v>224</v>
      </c>
      <c r="B221" t="s">
        <v>445</v>
      </c>
      <c r="C221" t="s">
        <v>666</v>
      </c>
      <c r="D221" t="s">
        <v>887</v>
      </c>
      <c r="E221">
        <v>174.7</v>
      </c>
    </row>
    <row r="222" spans="1:5" hidden="1" x14ac:dyDescent="0.25">
      <c r="A222" t="s">
        <v>225</v>
      </c>
      <c r="B222" t="s">
        <v>446</v>
      </c>
      <c r="C222" t="s">
        <v>667</v>
      </c>
      <c r="D222" t="s">
        <v>888</v>
      </c>
      <c r="E222">
        <v>275.10000000000002</v>
      </c>
    </row>
  </sheetData>
  <autoFilter ref="A1:S222" xr:uid="{33C838AC-48D2-5D45-A08A-96E03368F0F8}">
    <filterColumn colId="0">
      <filters>
        <filter val="1703"/>
        <filter val="1706"/>
        <filter val="1708"/>
        <filter val="1710"/>
        <filter val="1712"/>
        <filter val="1714"/>
        <filter val="1718"/>
        <filter val="1722"/>
        <filter val="1724"/>
        <filter val="1726"/>
        <filter val="1727"/>
        <filter val="1730"/>
        <filter val="1733"/>
        <filter val="173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sample_size</vt:lpstr>
      <vt:lpstr>district_allocation</vt:lpstr>
      <vt:lpstr>region_allocation</vt:lpstr>
      <vt:lpstr>Ma'lumot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Nozimjon Ortiqov</dc:creator>
  <cp:lastModifiedBy>Nozimjon Ortiqov</cp:lastModifiedBy>
  <dcterms:created xsi:type="dcterms:W3CDTF">2024-05-06T07:23:53Z</dcterms:created>
  <dcterms:modified xsi:type="dcterms:W3CDTF">2024-07-10T14:51:23Z</dcterms:modified>
</cp:coreProperties>
</file>