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n.ortiqov\Desktop\Cerr_old\Cerr\Regular\00_consumer confidence index\01_Survey_call_center\2025\01\сsi_q1_2025_res\tables\"/>
    </mc:Choice>
  </mc:AlternateContent>
  <xr:revisionPtr revIDLastSave="0" documentId="13_ncr:1_{0CD7F96E-B5CF-4BBC-9488-93937C7EC433}" xr6:coauthVersionLast="47" xr6:coauthVersionMax="47" xr10:uidLastSave="{00000000-0000-0000-0000-000000000000}"/>
  <bookViews>
    <workbookView xWindow="-120" yWindow="-120" windowWidth="29040" windowHeight="15990" firstSheet="1" activeTab="1" xr2:uid="{00000000-000D-0000-FFFF-FFFF00000000}"/>
  </bookViews>
  <sheets>
    <sheet name="Лист1" sheetId="1" state="hidden" r:id="rId1"/>
    <sheet name="is_official" sheetId="2" r:id="rId2"/>
    <sheet name="employment" sheetId="6" r:id="rId3"/>
    <sheet name="Лист3 (2)" sheetId="4" state="hidden" r:id="rId4"/>
    <sheet name="Лист4" sheetId="5" state="hidden" r:id="rId5"/>
  </sheets>
  <definedNames>
    <definedName name="_xlnm._FilterDatabase" localSheetId="1" hidden="1">is_official!$A$2:$T$16</definedName>
    <definedName name="_xlnm._FilterDatabase" localSheetId="0" hidden="1">Лист1!$B$2:$O$72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8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3" i="2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3" i="6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3" i="1"/>
  <c r="G16" i="5" l="1"/>
  <c r="G15" i="5"/>
  <c r="G14" i="5"/>
  <c r="G13" i="5"/>
  <c r="G12" i="5"/>
  <c r="G11" i="5"/>
  <c r="G10" i="5"/>
  <c r="G9" i="5"/>
  <c r="G8" i="5"/>
  <c r="G7" i="5"/>
  <c r="G6" i="5"/>
  <c r="G5" i="5"/>
  <c r="G4" i="5"/>
  <c r="G3" i="5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</calcChain>
</file>

<file path=xl/sharedStrings.xml><?xml version="1.0" encoding="utf-8"?>
<sst xmlns="http://schemas.openxmlformats.org/spreadsheetml/2006/main" count="291" uniqueCount="44">
  <si>
    <t>Муаммолар</t>
  </si>
  <si>
    <t>2021 йил</t>
  </si>
  <si>
    <t>2022 йил</t>
  </si>
  <si>
    <t>январь</t>
  </si>
  <si>
    <t>апрель</t>
  </si>
  <si>
    <t>июль</t>
  </si>
  <si>
    <t>октябрь</t>
  </si>
  <si>
    <t>Газ таъминоти муаммоси</t>
  </si>
  <si>
    <t>Иш ўринлари етишмаслиги</t>
  </si>
  <si>
    <t>Ички йўллар сифати муаммоси</t>
  </si>
  <si>
    <t>Электр энергия муаммоси</t>
  </si>
  <si>
    <t>Ичимлик суви муаммоси</t>
  </si>
  <si>
    <t>Андижон 
вилояти</t>
  </si>
  <si>
    <t>Кўрсаткичлар</t>
  </si>
  <si>
    <t>Иш билан бандлик</t>
  </si>
  <si>
    <t>Расмий бандлик</t>
  </si>
  <si>
    <t>Самарқанд 
вилояти</t>
  </si>
  <si>
    <t>Сирдарё 
вилояти</t>
  </si>
  <si>
    <t>Жиззах 
вилояти</t>
  </si>
  <si>
    <t>Бухоро
вилояти</t>
  </si>
  <si>
    <t>Бухоро 
вилояти</t>
  </si>
  <si>
    <t>Наманган 
вилояти</t>
  </si>
  <si>
    <t>Тошкент 
шаҳри</t>
  </si>
  <si>
    <t>Тошкент
 шаҳри</t>
  </si>
  <si>
    <t>Фарғона
 вилояти</t>
  </si>
  <si>
    <t>Тошкент 
вилояти</t>
  </si>
  <si>
    <t>Навоий
вилояти</t>
  </si>
  <si>
    <t>Қашқадарё
 вилояти</t>
  </si>
  <si>
    <t>Сурхондарё 
вилояти</t>
  </si>
  <si>
    <t>Хоразм
 вилояти</t>
  </si>
  <si>
    <t>Хоразм 
вилояти</t>
  </si>
  <si>
    <t>Қорақалпоғистон Республикаси</t>
  </si>
  <si>
    <t>Ўзгариш</t>
  </si>
  <si>
    <t>Даромади камайганлар</t>
  </si>
  <si>
    <t>2022
апрель</t>
  </si>
  <si>
    <t>2021
июль</t>
  </si>
  <si>
    <t>2022
июль</t>
  </si>
  <si>
    <t>Даромади мавжуд эмас</t>
  </si>
  <si>
    <t>2023 йил</t>
  </si>
  <si>
    <t>Апрель</t>
  </si>
  <si>
    <t>Наманган
вилояти</t>
  </si>
  <si>
    <t>Ҳудудлар</t>
  </si>
  <si>
    <t>Қорақалпоғистон</t>
  </si>
  <si>
    <t>апрел-май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</si>
</sst>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b/>
      <sz val="13"/>
      <color rgb="FF000000"/>
      <name val="Arial"/>
      <family val="2"/>
      <charset val="204"/>
    </font>
    <font>
      <sz val="13"/>
      <color rgb="FF000000"/>
      <name val="Arial"/>
      <family val="2"/>
      <charset val="204"/>
    </font>
    <font>
      <sz val="13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sz val="14"/>
      <color rgb="FF000000"/>
      <name val="Arial"/>
      <family val="2"/>
      <charset val="204"/>
    </font>
    <font>
      <sz val="13"/>
      <color rgb="FFC00000"/>
      <name val="Arial"/>
      <family val="2"/>
      <charset val="204"/>
    </font>
    <font>
      <sz val="14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9" fontId="8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9" fontId="0" fillId="0" borderId="0" xfId="0" applyNumberFormat="1"/>
    <xf numFmtId="0" fontId="10" fillId="0" borderId="0" xfId="0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9" fontId="5" fillId="2" borderId="1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11" fillId="0" borderId="0" xfId="0" applyNumberFormat="1" applyFont="1"/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9" fontId="0" fillId="0" borderId="0" xfId="1" applyNumberFormat="1" applyFont="1"/>
    <xf numFmtId="9" fontId="9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72"/>
  <sheetViews>
    <sheetView zoomScale="85" zoomScaleNormal="85" workbookViewId="0">
      <selection activeCell="O3" sqref="O3:O72"/>
    </sheetView>
  </sheetViews>
  <sheetFormatPr defaultRowHeight="15" x14ac:dyDescent="0.25"/>
  <cols>
    <col min="2" max="2" width="49.28515625" customWidth="1"/>
    <col min="3" max="3" width="46.5703125" customWidth="1"/>
    <col min="4" max="4" width="10.85546875" customWidth="1"/>
    <col min="5" max="5" width="12.7109375" customWidth="1"/>
    <col min="6" max="6" width="10.7109375" customWidth="1"/>
    <col min="7" max="7" width="12.7109375" customWidth="1"/>
    <col min="8" max="8" width="14" customWidth="1"/>
    <col min="9" max="9" width="11.140625" customWidth="1"/>
    <col min="10" max="10" width="12.5703125" customWidth="1"/>
    <col min="11" max="11" width="13.42578125" customWidth="1"/>
    <col min="12" max="14" width="18.28515625" customWidth="1"/>
    <col min="15" max="15" width="16.85546875" customWidth="1"/>
  </cols>
  <sheetData>
    <row r="1" spans="2:15" ht="32.25" customHeight="1" x14ac:dyDescent="0.25">
      <c r="B1" s="32" t="s">
        <v>41</v>
      </c>
      <c r="C1" s="34" t="s">
        <v>0</v>
      </c>
      <c r="D1" s="36" t="s">
        <v>1</v>
      </c>
      <c r="E1" s="36"/>
      <c r="F1" s="36"/>
      <c r="G1" s="36"/>
      <c r="H1" s="37" t="s">
        <v>2</v>
      </c>
      <c r="I1" s="31"/>
      <c r="J1" s="31"/>
      <c r="K1" s="31"/>
      <c r="L1" s="31" t="s">
        <v>38</v>
      </c>
      <c r="M1" s="31"/>
      <c r="N1" s="31"/>
      <c r="O1" s="15" t="s">
        <v>32</v>
      </c>
    </row>
    <row r="2" spans="2:15" ht="48.75" customHeight="1" x14ac:dyDescent="0.25">
      <c r="B2" s="33"/>
      <c r="C2" s="35"/>
      <c r="D2" s="1" t="s">
        <v>3</v>
      </c>
      <c r="E2" s="1" t="s">
        <v>4</v>
      </c>
      <c r="F2" s="1" t="s">
        <v>5</v>
      </c>
      <c r="G2" s="1" t="s">
        <v>6</v>
      </c>
      <c r="H2" s="2" t="s">
        <v>3</v>
      </c>
      <c r="I2" s="2" t="s">
        <v>4</v>
      </c>
      <c r="J2" s="2" t="s">
        <v>5</v>
      </c>
      <c r="K2" s="1" t="s">
        <v>6</v>
      </c>
      <c r="L2" s="2" t="s">
        <v>3</v>
      </c>
      <c r="M2" s="2" t="s">
        <v>39</v>
      </c>
      <c r="N2" s="2" t="s">
        <v>5</v>
      </c>
    </row>
    <row r="3" spans="2:15" ht="16.5" x14ac:dyDescent="0.25">
      <c r="B3" s="17" t="s">
        <v>12</v>
      </c>
      <c r="C3" s="8" t="s">
        <v>7</v>
      </c>
      <c r="D3" s="3">
        <v>0.3</v>
      </c>
      <c r="E3" s="3">
        <v>0.17</v>
      </c>
      <c r="F3" s="3">
        <v>0.17</v>
      </c>
      <c r="G3" s="3">
        <v>0.28000000000000003</v>
      </c>
      <c r="H3" s="4">
        <v>0.26</v>
      </c>
      <c r="I3" s="4">
        <v>0.28000000000000003</v>
      </c>
      <c r="J3" s="5">
        <v>0.31</v>
      </c>
      <c r="K3" s="5">
        <v>0.28000000000000003</v>
      </c>
      <c r="L3" s="5">
        <v>0.39</v>
      </c>
      <c r="M3" s="5">
        <v>0.27</v>
      </c>
      <c r="N3" s="5">
        <v>0.28000000000000003</v>
      </c>
      <c r="O3" s="14">
        <f>+N3-J3</f>
        <v>-2.9999999999999971E-2</v>
      </c>
    </row>
    <row r="4" spans="2:15" ht="54" customHeight="1" x14ac:dyDescent="0.25">
      <c r="B4" s="17" t="s">
        <v>12</v>
      </c>
      <c r="C4" s="8" t="s">
        <v>8</v>
      </c>
      <c r="D4" s="3">
        <v>0.1</v>
      </c>
      <c r="E4" s="3">
        <v>0.09</v>
      </c>
      <c r="F4" s="3">
        <v>0.08</v>
      </c>
      <c r="G4" s="3">
        <v>0.05</v>
      </c>
      <c r="H4" s="4">
        <v>0.06</v>
      </c>
      <c r="I4" s="4">
        <v>0.06</v>
      </c>
      <c r="J4" s="5">
        <v>0.03</v>
      </c>
      <c r="K4" s="5">
        <v>0.03</v>
      </c>
      <c r="L4" s="5">
        <v>0.03</v>
      </c>
      <c r="M4" s="5">
        <v>0.03</v>
      </c>
      <c r="N4" s="5">
        <v>0.02</v>
      </c>
      <c r="O4" s="14">
        <f t="shared" ref="O4:O67" si="0">+N4-J4</f>
        <v>-9.9999999999999985E-3</v>
      </c>
    </row>
    <row r="5" spans="2:15" ht="16.5" x14ac:dyDescent="0.25">
      <c r="B5" s="17" t="s">
        <v>12</v>
      </c>
      <c r="C5" s="8" t="s">
        <v>9</v>
      </c>
      <c r="D5" s="3">
        <v>0.1</v>
      </c>
      <c r="E5" s="3">
        <v>0.15</v>
      </c>
      <c r="F5" s="3">
        <v>0.15</v>
      </c>
      <c r="G5" s="3">
        <v>0.16</v>
      </c>
      <c r="H5" s="4">
        <v>0.2</v>
      </c>
      <c r="I5" s="4">
        <v>0.23</v>
      </c>
      <c r="J5" s="5">
        <v>0.21</v>
      </c>
      <c r="K5" s="5">
        <v>0.22</v>
      </c>
      <c r="L5" s="5">
        <v>0.11</v>
      </c>
      <c r="M5" s="5">
        <v>0.26</v>
      </c>
      <c r="N5" s="5">
        <v>0.22</v>
      </c>
      <c r="O5" s="14">
        <f t="shared" si="0"/>
        <v>1.0000000000000009E-2</v>
      </c>
    </row>
    <row r="6" spans="2:15" ht="16.5" x14ac:dyDescent="0.25">
      <c r="B6" s="17" t="s">
        <v>12</v>
      </c>
      <c r="C6" s="8" t="s">
        <v>10</v>
      </c>
      <c r="D6" s="3">
        <v>0.12</v>
      </c>
      <c r="E6" s="3">
        <v>0.04</v>
      </c>
      <c r="F6" s="3">
        <v>0.03</v>
      </c>
      <c r="G6" s="3">
        <v>0.05</v>
      </c>
      <c r="H6" s="4">
        <v>0.05</v>
      </c>
      <c r="I6" s="4">
        <v>0.03</v>
      </c>
      <c r="J6" s="5">
        <v>0.04</v>
      </c>
      <c r="K6" s="5">
        <v>0.06</v>
      </c>
      <c r="L6" s="5">
        <v>0.22</v>
      </c>
      <c r="M6" s="5">
        <v>0.06</v>
      </c>
      <c r="N6" s="5">
        <v>0.06</v>
      </c>
      <c r="O6" s="14">
        <f t="shared" si="0"/>
        <v>1.9999999999999997E-2</v>
      </c>
    </row>
    <row r="7" spans="2:15" ht="16.5" x14ac:dyDescent="0.25">
      <c r="B7" s="17" t="s">
        <v>12</v>
      </c>
      <c r="C7" s="8" t="s">
        <v>11</v>
      </c>
      <c r="D7" s="3">
        <v>0.06</v>
      </c>
      <c r="E7" s="3">
        <v>0.09</v>
      </c>
      <c r="F7" s="3">
        <v>0.12</v>
      </c>
      <c r="G7" s="3">
        <v>0.09</v>
      </c>
      <c r="H7" s="4">
        <v>0.06</v>
      </c>
      <c r="I7" s="4">
        <v>0.09</v>
      </c>
      <c r="J7" s="5">
        <v>0.12</v>
      </c>
      <c r="K7" s="5">
        <v>0.08</v>
      </c>
      <c r="L7" s="5">
        <v>7.0000000000000007E-2</v>
      </c>
      <c r="M7" s="5">
        <v>0.08</v>
      </c>
      <c r="N7" s="5">
        <v>0.1</v>
      </c>
      <c r="O7" s="14">
        <f t="shared" si="0"/>
        <v>-1.999999999999999E-2</v>
      </c>
    </row>
    <row r="8" spans="2:15" ht="16.5" customHeight="1" x14ac:dyDescent="0.25">
      <c r="B8" s="17" t="s">
        <v>19</v>
      </c>
      <c r="C8" s="6" t="s">
        <v>7</v>
      </c>
      <c r="D8" s="3">
        <v>0.23</v>
      </c>
      <c r="E8" s="3">
        <v>0.16</v>
      </c>
      <c r="F8" s="3">
        <v>0.15</v>
      </c>
      <c r="G8" s="3">
        <v>0.27</v>
      </c>
      <c r="H8" s="4">
        <v>0.22</v>
      </c>
      <c r="I8" s="4">
        <v>0.16</v>
      </c>
      <c r="J8" s="7">
        <v>0.16</v>
      </c>
      <c r="K8" s="7">
        <v>0.24</v>
      </c>
      <c r="L8" s="5">
        <v>0.3</v>
      </c>
      <c r="M8" s="5">
        <v>0.18</v>
      </c>
      <c r="N8" s="5">
        <v>0.12</v>
      </c>
      <c r="O8" s="14">
        <f t="shared" si="0"/>
        <v>-4.0000000000000008E-2</v>
      </c>
    </row>
    <row r="9" spans="2:15" ht="16.5" x14ac:dyDescent="0.25">
      <c r="B9" s="17" t="s">
        <v>19</v>
      </c>
      <c r="C9" s="6" t="s">
        <v>8</v>
      </c>
      <c r="D9" s="3">
        <v>0.15</v>
      </c>
      <c r="E9" s="3">
        <v>0.13</v>
      </c>
      <c r="F9" s="3">
        <v>0.1</v>
      </c>
      <c r="G9" s="3">
        <v>0.09</v>
      </c>
      <c r="H9" s="4">
        <v>0.09</v>
      </c>
      <c r="I9" s="4">
        <v>7.0000000000000007E-2</v>
      </c>
      <c r="J9" s="7">
        <v>0.05</v>
      </c>
      <c r="K9" s="7">
        <v>0.05</v>
      </c>
      <c r="L9" s="5">
        <v>0.03</v>
      </c>
      <c r="M9" s="5">
        <v>0.06</v>
      </c>
      <c r="N9" s="5">
        <v>0.03</v>
      </c>
      <c r="O9" s="14">
        <f t="shared" si="0"/>
        <v>-2.0000000000000004E-2</v>
      </c>
    </row>
    <row r="10" spans="2:15" ht="16.5" x14ac:dyDescent="0.25">
      <c r="B10" s="17" t="s">
        <v>19</v>
      </c>
      <c r="C10" s="6" t="s">
        <v>9</v>
      </c>
      <c r="D10" s="3">
        <v>0.1</v>
      </c>
      <c r="E10" s="3">
        <v>0.15</v>
      </c>
      <c r="F10" s="3">
        <v>0.15</v>
      </c>
      <c r="G10" s="3">
        <v>0.15</v>
      </c>
      <c r="H10" s="4">
        <v>0.19</v>
      </c>
      <c r="I10" s="4">
        <v>0.24</v>
      </c>
      <c r="J10" s="7">
        <v>0.21</v>
      </c>
      <c r="K10" s="7">
        <v>0.24</v>
      </c>
      <c r="L10" s="5">
        <v>0.17</v>
      </c>
      <c r="M10" s="5">
        <v>0.2</v>
      </c>
      <c r="N10" s="5">
        <v>0.13</v>
      </c>
      <c r="O10" s="14">
        <f t="shared" si="0"/>
        <v>-7.9999999999999988E-2</v>
      </c>
    </row>
    <row r="11" spans="2:15" ht="16.5" x14ac:dyDescent="0.25">
      <c r="B11" s="17" t="s">
        <v>19</v>
      </c>
      <c r="C11" s="6" t="s">
        <v>10</v>
      </c>
      <c r="D11" s="3">
        <v>0.09</v>
      </c>
      <c r="E11" s="3">
        <v>0.01</v>
      </c>
      <c r="F11" s="3">
        <v>0.02</v>
      </c>
      <c r="G11" s="3">
        <v>0.02</v>
      </c>
      <c r="H11" s="4">
        <v>0.03</v>
      </c>
      <c r="I11" s="4">
        <v>0.03</v>
      </c>
      <c r="J11" s="7">
        <v>0.09</v>
      </c>
      <c r="K11" s="7">
        <v>0.03</v>
      </c>
      <c r="L11" s="5">
        <v>0.19</v>
      </c>
      <c r="M11" s="5">
        <v>0.03</v>
      </c>
      <c r="N11" s="5">
        <v>0.3</v>
      </c>
      <c r="O11" s="14">
        <f t="shared" si="0"/>
        <v>0.21</v>
      </c>
    </row>
    <row r="12" spans="2:15" ht="16.5" x14ac:dyDescent="0.25">
      <c r="B12" s="17" t="s">
        <v>19</v>
      </c>
      <c r="C12" s="6" t="s">
        <v>11</v>
      </c>
      <c r="D12" s="3">
        <v>0.06</v>
      </c>
      <c r="E12" s="3">
        <v>0.1</v>
      </c>
      <c r="F12" s="3">
        <v>0.13</v>
      </c>
      <c r="G12" s="3">
        <v>7.0000000000000007E-2</v>
      </c>
      <c r="H12" s="4">
        <v>0.05</v>
      </c>
      <c r="I12" s="4">
        <v>0.08</v>
      </c>
      <c r="J12" s="7">
        <v>0.11</v>
      </c>
      <c r="K12" s="7">
        <v>0.09</v>
      </c>
      <c r="L12" s="5">
        <v>0.05</v>
      </c>
      <c r="M12" s="5">
        <v>0.11</v>
      </c>
      <c r="N12" s="5">
        <v>0.08</v>
      </c>
      <c r="O12" s="14">
        <f t="shared" si="0"/>
        <v>-0.03</v>
      </c>
    </row>
    <row r="13" spans="2:15" ht="16.5" customHeight="1" x14ac:dyDescent="0.25">
      <c r="B13" s="17" t="s">
        <v>18</v>
      </c>
      <c r="C13" s="6" t="s">
        <v>7</v>
      </c>
      <c r="D13" s="3">
        <v>0.23</v>
      </c>
      <c r="E13" s="3">
        <v>0.18</v>
      </c>
      <c r="F13" s="3">
        <v>0.14000000000000001</v>
      </c>
      <c r="G13" s="3">
        <v>0.21</v>
      </c>
      <c r="H13" s="11">
        <v>0.21</v>
      </c>
      <c r="I13" s="4">
        <v>0.14000000000000001</v>
      </c>
      <c r="J13" s="7">
        <v>0.13</v>
      </c>
      <c r="K13" s="7">
        <v>0.13</v>
      </c>
      <c r="L13" s="5">
        <v>0.18</v>
      </c>
      <c r="M13" s="5">
        <v>0.13</v>
      </c>
      <c r="N13" s="5">
        <v>0.14000000000000001</v>
      </c>
      <c r="O13" s="14">
        <f t="shared" si="0"/>
        <v>1.0000000000000009E-2</v>
      </c>
    </row>
    <row r="14" spans="2:15" ht="16.5" x14ac:dyDescent="0.25">
      <c r="B14" s="17" t="s">
        <v>18</v>
      </c>
      <c r="C14" s="6" t="s">
        <v>8</v>
      </c>
      <c r="D14" s="3">
        <v>0.15</v>
      </c>
      <c r="E14" s="3">
        <v>0.18</v>
      </c>
      <c r="F14" s="3">
        <v>0.12</v>
      </c>
      <c r="G14" s="3">
        <v>0.11</v>
      </c>
      <c r="H14" s="11">
        <v>0.13</v>
      </c>
      <c r="I14" s="4">
        <v>0.09</v>
      </c>
      <c r="J14" s="7">
        <v>7.0000000000000007E-2</v>
      </c>
      <c r="K14" s="7">
        <v>0.06</v>
      </c>
      <c r="L14" s="5">
        <v>0.09</v>
      </c>
      <c r="M14" s="5">
        <v>0.06</v>
      </c>
      <c r="N14" s="5">
        <v>0.03</v>
      </c>
      <c r="O14" s="14">
        <f t="shared" si="0"/>
        <v>-4.0000000000000008E-2</v>
      </c>
    </row>
    <row r="15" spans="2:15" ht="16.5" x14ac:dyDescent="0.25">
      <c r="B15" s="17" t="s">
        <v>18</v>
      </c>
      <c r="C15" s="6" t="s">
        <v>9</v>
      </c>
      <c r="D15" s="3">
        <v>0.13</v>
      </c>
      <c r="E15" s="3">
        <v>0.16</v>
      </c>
      <c r="F15" s="3">
        <v>0.12</v>
      </c>
      <c r="G15" s="3">
        <v>0.13</v>
      </c>
      <c r="H15" s="11">
        <v>0.16</v>
      </c>
      <c r="I15" s="4">
        <v>0.24</v>
      </c>
      <c r="J15" s="7">
        <v>0.2</v>
      </c>
      <c r="K15" s="7">
        <v>0.26</v>
      </c>
      <c r="L15" s="5">
        <v>0.22</v>
      </c>
      <c r="M15" s="5">
        <v>0.25</v>
      </c>
      <c r="N15" s="5">
        <v>0.18</v>
      </c>
      <c r="O15" s="14">
        <f t="shared" si="0"/>
        <v>-2.0000000000000018E-2</v>
      </c>
    </row>
    <row r="16" spans="2:15" ht="16.5" x14ac:dyDescent="0.25">
      <c r="B16" s="17" t="s">
        <v>18</v>
      </c>
      <c r="C16" s="6" t="s">
        <v>10</v>
      </c>
      <c r="D16" s="3">
        <v>0.05</v>
      </c>
      <c r="E16" s="3">
        <v>0.02</v>
      </c>
      <c r="F16" s="3">
        <v>0.03</v>
      </c>
      <c r="G16" s="3">
        <v>0.02</v>
      </c>
      <c r="H16" s="11">
        <v>0.04</v>
      </c>
      <c r="I16" s="4">
        <v>0.03</v>
      </c>
      <c r="J16" s="7">
        <v>0.05</v>
      </c>
      <c r="K16" s="7">
        <v>0.04</v>
      </c>
      <c r="L16" s="5">
        <v>0.08</v>
      </c>
      <c r="M16" s="5">
        <v>0.04</v>
      </c>
      <c r="N16" s="5">
        <v>0.16</v>
      </c>
      <c r="O16" s="14">
        <f t="shared" si="0"/>
        <v>0.11</v>
      </c>
    </row>
    <row r="17" spans="2:15" ht="16.5" x14ac:dyDescent="0.25">
      <c r="B17" s="17" t="s">
        <v>18</v>
      </c>
      <c r="C17" s="6" t="s">
        <v>11</v>
      </c>
      <c r="D17" s="3">
        <v>0.08</v>
      </c>
      <c r="E17" s="3">
        <v>0.13</v>
      </c>
      <c r="F17" s="3">
        <v>0.19</v>
      </c>
      <c r="G17" s="3">
        <v>0.16</v>
      </c>
      <c r="H17" s="11">
        <v>0.13</v>
      </c>
      <c r="I17" s="4">
        <v>0.12</v>
      </c>
      <c r="J17" s="7">
        <v>0.2</v>
      </c>
      <c r="K17" s="7">
        <v>0.15</v>
      </c>
      <c r="L17" s="5">
        <v>0.11</v>
      </c>
      <c r="M17" s="5">
        <v>0.14000000000000001</v>
      </c>
      <c r="N17" s="5">
        <v>0.18</v>
      </c>
      <c r="O17" s="14">
        <f t="shared" si="0"/>
        <v>-2.0000000000000018E-2</v>
      </c>
    </row>
    <row r="18" spans="2:15" ht="16.5" customHeight="1" x14ac:dyDescent="0.25">
      <c r="B18" s="17" t="s">
        <v>27</v>
      </c>
      <c r="C18" s="6" t="s">
        <v>7</v>
      </c>
      <c r="D18" s="3">
        <v>0.22</v>
      </c>
      <c r="E18" s="3">
        <v>0.12</v>
      </c>
      <c r="F18" s="3">
        <v>0.11</v>
      </c>
      <c r="G18" s="3">
        <v>0.14000000000000001</v>
      </c>
      <c r="H18" s="4">
        <v>0.17</v>
      </c>
      <c r="I18" s="4">
        <v>0.16</v>
      </c>
      <c r="J18" s="7">
        <v>0.16</v>
      </c>
      <c r="K18" s="7">
        <v>0.14000000000000001</v>
      </c>
      <c r="L18" s="5">
        <v>0.2</v>
      </c>
      <c r="M18" s="5">
        <v>0.16</v>
      </c>
      <c r="N18" s="5">
        <v>0.13</v>
      </c>
      <c r="O18" s="14">
        <f t="shared" si="0"/>
        <v>-0.03</v>
      </c>
    </row>
    <row r="19" spans="2:15" ht="16.5" customHeight="1" x14ac:dyDescent="0.25">
      <c r="B19" s="17" t="s">
        <v>27</v>
      </c>
      <c r="C19" s="6" t="s">
        <v>8</v>
      </c>
      <c r="D19" s="3">
        <v>0.16</v>
      </c>
      <c r="E19" s="3">
        <v>0.2</v>
      </c>
      <c r="F19" s="3">
        <v>0.1</v>
      </c>
      <c r="G19" s="3">
        <v>0.13</v>
      </c>
      <c r="H19" s="4">
        <v>0.09</v>
      </c>
      <c r="I19" s="4">
        <v>7.0000000000000007E-2</v>
      </c>
      <c r="J19" s="7">
        <v>7.0000000000000007E-2</v>
      </c>
      <c r="K19" s="7">
        <v>0.13</v>
      </c>
      <c r="L19" s="5">
        <v>7.0000000000000007E-2</v>
      </c>
      <c r="M19" s="5">
        <v>0.09</v>
      </c>
      <c r="N19" s="5">
        <v>0.05</v>
      </c>
      <c r="O19" s="14">
        <f t="shared" si="0"/>
        <v>-2.0000000000000004E-2</v>
      </c>
    </row>
    <row r="20" spans="2:15" ht="16.5" customHeight="1" x14ac:dyDescent="0.25">
      <c r="B20" s="17" t="s">
        <v>27</v>
      </c>
      <c r="C20" s="6" t="s">
        <v>9</v>
      </c>
      <c r="D20" s="3">
        <v>0.12</v>
      </c>
      <c r="E20" s="3">
        <v>0.19</v>
      </c>
      <c r="F20" s="3">
        <v>0.14000000000000001</v>
      </c>
      <c r="G20" s="3">
        <v>0.18</v>
      </c>
      <c r="H20" s="4">
        <v>0.17</v>
      </c>
      <c r="I20" s="4">
        <v>0.24</v>
      </c>
      <c r="J20" s="7">
        <v>0.2</v>
      </c>
      <c r="K20" s="7">
        <v>0.18</v>
      </c>
      <c r="L20" s="5">
        <v>0.22</v>
      </c>
      <c r="M20" s="5">
        <v>0.24</v>
      </c>
      <c r="N20" s="5">
        <v>0.2</v>
      </c>
      <c r="O20" s="14">
        <f t="shared" si="0"/>
        <v>0</v>
      </c>
    </row>
    <row r="21" spans="2:15" ht="16.5" customHeight="1" x14ac:dyDescent="0.25">
      <c r="B21" s="17" t="s">
        <v>27</v>
      </c>
      <c r="C21" s="6" t="s">
        <v>10</v>
      </c>
      <c r="D21" s="3">
        <v>0.11</v>
      </c>
      <c r="E21" s="3">
        <v>0.04</v>
      </c>
      <c r="F21" s="3">
        <v>0.04</v>
      </c>
      <c r="G21" s="3">
        <v>0.03</v>
      </c>
      <c r="H21" s="4">
        <v>0.03</v>
      </c>
      <c r="I21" s="4">
        <v>0.02</v>
      </c>
      <c r="J21" s="7">
        <v>0.04</v>
      </c>
      <c r="K21" s="7">
        <v>0.03</v>
      </c>
      <c r="L21" s="5">
        <v>0.11</v>
      </c>
      <c r="M21" s="5">
        <v>0.04</v>
      </c>
      <c r="N21" s="5">
        <v>7.0000000000000007E-2</v>
      </c>
      <c r="O21" s="14">
        <f t="shared" si="0"/>
        <v>3.0000000000000006E-2</v>
      </c>
    </row>
    <row r="22" spans="2:15" ht="16.5" customHeight="1" x14ac:dyDescent="0.25">
      <c r="B22" s="17" t="s">
        <v>27</v>
      </c>
      <c r="C22" s="6" t="s">
        <v>11</v>
      </c>
      <c r="D22" s="3">
        <v>0.08</v>
      </c>
      <c r="E22" s="3">
        <v>0.11</v>
      </c>
      <c r="F22" s="3">
        <v>0.22</v>
      </c>
      <c r="G22" s="3">
        <v>0.15</v>
      </c>
      <c r="H22" s="4">
        <v>0.15</v>
      </c>
      <c r="I22" s="4">
        <v>0.15</v>
      </c>
      <c r="J22" s="7">
        <v>0.2</v>
      </c>
      <c r="K22" s="7">
        <v>0.15</v>
      </c>
      <c r="L22" s="5">
        <v>0.11</v>
      </c>
      <c r="M22" s="5">
        <v>0.19</v>
      </c>
      <c r="N22" s="5">
        <v>0.22</v>
      </c>
      <c r="O22" s="14">
        <f t="shared" si="0"/>
        <v>1.999999999999999E-2</v>
      </c>
    </row>
    <row r="23" spans="2:15" ht="16.5" customHeight="1" x14ac:dyDescent="0.25">
      <c r="B23" s="16" t="s">
        <v>42</v>
      </c>
      <c r="C23" s="6" t="s">
        <v>7</v>
      </c>
      <c r="D23" s="3">
        <v>0.17</v>
      </c>
      <c r="E23" s="3">
        <v>0.12</v>
      </c>
      <c r="F23" s="3">
        <v>0.12</v>
      </c>
      <c r="G23" s="3">
        <v>0.23</v>
      </c>
      <c r="H23" s="4">
        <v>0.18</v>
      </c>
      <c r="I23" s="4">
        <v>0.16</v>
      </c>
      <c r="J23" s="7">
        <v>0.15</v>
      </c>
      <c r="K23" s="7">
        <v>0.18</v>
      </c>
      <c r="L23" s="5">
        <v>0.18</v>
      </c>
      <c r="M23" s="5">
        <v>0.16</v>
      </c>
      <c r="N23" s="5">
        <v>0.14000000000000001</v>
      </c>
      <c r="O23" s="14">
        <f t="shared" si="0"/>
        <v>-9.9999999999999811E-3</v>
      </c>
    </row>
    <row r="24" spans="2:15" ht="16.5" customHeight="1" x14ac:dyDescent="0.25">
      <c r="B24" s="16" t="s">
        <v>42</v>
      </c>
      <c r="C24" s="6" t="s">
        <v>8</v>
      </c>
      <c r="D24" s="3">
        <v>0.2</v>
      </c>
      <c r="E24" s="3">
        <v>0.18</v>
      </c>
      <c r="F24" s="3">
        <v>0.13</v>
      </c>
      <c r="G24" s="3">
        <v>0.1</v>
      </c>
      <c r="H24" s="4">
        <v>0.13</v>
      </c>
      <c r="I24" s="4">
        <v>0.09</v>
      </c>
      <c r="J24" s="7">
        <v>0.09</v>
      </c>
      <c r="K24" s="7">
        <v>0.08</v>
      </c>
      <c r="L24" s="5">
        <v>0.13</v>
      </c>
      <c r="M24" s="5">
        <v>0.08</v>
      </c>
      <c r="N24" s="5">
        <v>0.05</v>
      </c>
      <c r="O24" s="14">
        <f t="shared" si="0"/>
        <v>-3.9999999999999994E-2</v>
      </c>
    </row>
    <row r="25" spans="2:15" ht="16.5" customHeight="1" x14ac:dyDescent="0.25">
      <c r="B25" s="16" t="s">
        <v>42</v>
      </c>
      <c r="C25" s="6" t="s">
        <v>9</v>
      </c>
      <c r="D25" s="3">
        <v>0.09</v>
      </c>
      <c r="E25" s="3">
        <v>0.09</v>
      </c>
      <c r="F25" s="3">
        <v>0.13</v>
      </c>
      <c r="G25" s="3">
        <v>0.13</v>
      </c>
      <c r="H25" s="4">
        <v>0.21</v>
      </c>
      <c r="I25" s="4">
        <v>0.19</v>
      </c>
      <c r="J25" s="7">
        <v>0.17</v>
      </c>
      <c r="K25" s="7">
        <v>0.2</v>
      </c>
      <c r="L25" s="5">
        <v>0.17</v>
      </c>
      <c r="M25" s="5">
        <v>0.19</v>
      </c>
      <c r="N25" s="5">
        <v>0.18</v>
      </c>
      <c r="O25" s="14">
        <f t="shared" si="0"/>
        <v>9.9999999999999811E-3</v>
      </c>
    </row>
    <row r="26" spans="2:15" ht="16.5" customHeight="1" x14ac:dyDescent="0.25">
      <c r="B26" s="16" t="s">
        <v>42</v>
      </c>
      <c r="C26" s="6" t="s">
        <v>10</v>
      </c>
      <c r="D26" s="3">
        <v>0.11</v>
      </c>
      <c r="E26" s="3">
        <v>0.27</v>
      </c>
      <c r="F26" s="3">
        <v>0.27</v>
      </c>
      <c r="G26" s="3">
        <v>0.17</v>
      </c>
      <c r="H26" s="4">
        <v>0.12</v>
      </c>
      <c r="I26" s="4">
        <v>0.14000000000000001</v>
      </c>
      <c r="J26" s="7">
        <v>0.16</v>
      </c>
      <c r="K26" s="7">
        <v>0.03</v>
      </c>
      <c r="L26" s="7">
        <v>0.02</v>
      </c>
      <c r="M26" s="7">
        <v>0.02</v>
      </c>
      <c r="N26" s="7">
        <v>0.04</v>
      </c>
      <c r="O26" s="14">
        <f t="shared" si="0"/>
        <v>-0.12</v>
      </c>
    </row>
    <row r="27" spans="2:15" ht="16.5" customHeight="1" x14ac:dyDescent="0.25">
      <c r="B27" s="16" t="s">
        <v>42</v>
      </c>
      <c r="C27" s="6" t="s">
        <v>11</v>
      </c>
      <c r="D27" s="3">
        <v>0.11</v>
      </c>
      <c r="E27" s="3">
        <v>0.27</v>
      </c>
      <c r="F27" s="3">
        <v>0.27</v>
      </c>
      <c r="G27" s="3">
        <v>0.17</v>
      </c>
      <c r="H27" s="4">
        <v>0.12</v>
      </c>
      <c r="I27" s="4">
        <v>0.14000000000000001</v>
      </c>
      <c r="J27" s="7">
        <v>0.16</v>
      </c>
      <c r="K27" s="7">
        <v>0.11</v>
      </c>
      <c r="L27" s="7">
        <v>0.11</v>
      </c>
      <c r="M27" s="7">
        <v>0.16</v>
      </c>
      <c r="N27" s="7">
        <v>0.18</v>
      </c>
      <c r="O27" s="14">
        <f t="shared" si="0"/>
        <v>1.999999999999999E-2</v>
      </c>
    </row>
    <row r="28" spans="2:15" ht="33" customHeight="1" x14ac:dyDescent="0.25">
      <c r="B28" s="17" t="s">
        <v>26</v>
      </c>
      <c r="C28" s="6" t="s">
        <v>7</v>
      </c>
      <c r="D28" s="3">
        <v>0.11</v>
      </c>
      <c r="E28" s="3">
        <v>0.1</v>
      </c>
      <c r="F28" s="3">
        <v>0.09</v>
      </c>
      <c r="G28" s="3">
        <v>0.16</v>
      </c>
      <c r="H28" s="4">
        <v>0.11</v>
      </c>
      <c r="I28" s="11">
        <v>0.12</v>
      </c>
      <c r="J28" s="7">
        <v>0.11</v>
      </c>
      <c r="K28" s="7">
        <v>0.13</v>
      </c>
      <c r="L28" s="5">
        <v>0.15</v>
      </c>
      <c r="M28" s="5">
        <v>0.1</v>
      </c>
      <c r="N28" s="5">
        <v>0.08</v>
      </c>
      <c r="O28" s="14">
        <f t="shared" si="0"/>
        <v>-0.03</v>
      </c>
    </row>
    <row r="29" spans="2:15" ht="16.5" customHeight="1" x14ac:dyDescent="0.25">
      <c r="B29" s="17" t="s">
        <v>26</v>
      </c>
      <c r="C29" s="6" t="s">
        <v>8</v>
      </c>
      <c r="D29" s="3">
        <v>0.2</v>
      </c>
      <c r="E29" s="3">
        <v>0.18</v>
      </c>
      <c r="F29" s="3">
        <v>0.12</v>
      </c>
      <c r="G29" s="3">
        <v>0.13</v>
      </c>
      <c r="H29" s="4">
        <v>0.13</v>
      </c>
      <c r="I29" s="11">
        <v>0.1</v>
      </c>
      <c r="J29" s="7">
        <v>0.09</v>
      </c>
      <c r="K29" s="7">
        <v>0.09</v>
      </c>
      <c r="L29" s="5">
        <v>0.12</v>
      </c>
      <c r="M29" s="5">
        <v>0.08</v>
      </c>
      <c r="N29" s="5">
        <v>0.06</v>
      </c>
      <c r="O29" s="14">
        <f t="shared" si="0"/>
        <v>-0.03</v>
      </c>
    </row>
    <row r="30" spans="2:15" ht="16.5" customHeight="1" x14ac:dyDescent="0.25">
      <c r="B30" s="17" t="s">
        <v>26</v>
      </c>
      <c r="C30" s="6" t="s">
        <v>9</v>
      </c>
      <c r="D30" s="3">
        <v>0.06</v>
      </c>
      <c r="E30" s="3">
        <v>0.13</v>
      </c>
      <c r="F30" s="3">
        <v>0.09</v>
      </c>
      <c r="G30" s="3">
        <v>0.08</v>
      </c>
      <c r="H30" s="4">
        <v>0.11</v>
      </c>
      <c r="I30" s="11">
        <v>0.18</v>
      </c>
      <c r="J30" s="7">
        <v>0.15</v>
      </c>
      <c r="K30" s="7">
        <v>0.17</v>
      </c>
      <c r="L30" s="5">
        <v>0.16</v>
      </c>
      <c r="M30" s="5">
        <v>0.14000000000000001</v>
      </c>
      <c r="N30" s="5">
        <v>0.13</v>
      </c>
      <c r="O30" s="14">
        <f t="shared" si="0"/>
        <v>-1.999999999999999E-2</v>
      </c>
    </row>
    <row r="31" spans="2:15" ht="16.5" customHeight="1" x14ac:dyDescent="0.25">
      <c r="B31" s="17" t="s">
        <v>26</v>
      </c>
      <c r="C31" s="6" t="s">
        <v>10</v>
      </c>
      <c r="D31" s="3">
        <v>0.03</v>
      </c>
      <c r="E31" s="3">
        <v>0.01</v>
      </c>
      <c r="F31" s="3">
        <v>0.02</v>
      </c>
      <c r="G31" s="3">
        <v>0.03</v>
      </c>
      <c r="H31" s="4">
        <v>0.02</v>
      </c>
      <c r="I31" s="11">
        <v>0.02</v>
      </c>
      <c r="J31" s="7">
        <v>0.02</v>
      </c>
      <c r="K31" s="7">
        <v>0.02</v>
      </c>
      <c r="L31" s="5">
        <v>0.05</v>
      </c>
      <c r="M31" s="5">
        <v>0.02</v>
      </c>
      <c r="N31" s="5">
        <v>0.17</v>
      </c>
      <c r="O31" s="14">
        <f t="shared" si="0"/>
        <v>0.15000000000000002</v>
      </c>
    </row>
    <row r="32" spans="2:15" ht="16.5" customHeight="1" x14ac:dyDescent="0.25">
      <c r="B32" s="17" t="s">
        <v>26</v>
      </c>
      <c r="C32" s="6" t="s">
        <v>11</v>
      </c>
      <c r="D32" s="3">
        <v>0.06</v>
      </c>
      <c r="E32" s="3">
        <v>0.09</v>
      </c>
      <c r="F32" s="3">
        <v>0.13</v>
      </c>
      <c r="G32" s="3">
        <v>0.06</v>
      </c>
      <c r="H32" s="4">
        <v>0.11</v>
      </c>
      <c r="I32" s="11">
        <v>0.11</v>
      </c>
      <c r="J32" s="7">
        <v>0.16</v>
      </c>
      <c r="K32" s="7">
        <v>0.11</v>
      </c>
      <c r="L32" s="5">
        <v>0.1</v>
      </c>
      <c r="M32" s="5">
        <v>0.11</v>
      </c>
      <c r="N32" s="5">
        <v>0.11</v>
      </c>
      <c r="O32" s="14">
        <f t="shared" si="0"/>
        <v>-0.05</v>
      </c>
    </row>
    <row r="33" spans="2:15" ht="16.5" customHeight="1" x14ac:dyDescent="0.25">
      <c r="B33" s="17" t="s">
        <v>21</v>
      </c>
      <c r="C33" s="6" t="s">
        <v>8</v>
      </c>
      <c r="D33" s="3">
        <v>0.08</v>
      </c>
      <c r="E33" s="3">
        <v>7.0000000000000007E-2</v>
      </c>
      <c r="F33" s="3">
        <v>0.09</v>
      </c>
      <c r="G33" s="3">
        <v>0.08</v>
      </c>
      <c r="H33" s="4">
        <v>0.08</v>
      </c>
      <c r="I33" s="4">
        <v>7.0000000000000007E-2</v>
      </c>
      <c r="J33" s="5">
        <v>0.05</v>
      </c>
      <c r="K33" s="5">
        <v>0.04</v>
      </c>
      <c r="L33" s="5">
        <v>0.05</v>
      </c>
      <c r="M33" s="5">
        <v>0.04</v>
      </c>
      <c r="N33" s="5">
        <v>0.03</v>
      </c>
      <c r="O33" s="14">
        <f t="shared" si="0"/>
        <v>-2.0000000000000004E-2</v>
      </c>
    </row>
    <row r="34" spans="2:15" ht="16.5" customHeight="1" x14ac:dyDescent="0.25">
      <c r="B34" s="17" t="s">
        <v>21</v>
      </c>
      <c r="C34" s="6" t="s">
        <v>9</v>
      </c>
      <c r="D34" s="3">
        <v>7.0000000000000007E-2</v>
      </c>
      <c r="E34" s="3">
        <v>7.0000000000000007E-2</v>
      </c>
      <c r="F34" s="3">
        <v>0.16</v>
      </c>
      <c r="G34" s="3">
        <v>0.14000000000000001</v>
      </c>
      <c r="H34" s="4">
        <v>0.14000000000000001</v>
      </c>
      <c r="I34" s="4">
        <v>0.22</v>
      </c>
      <c r="J34" s="5">
        <v>0.22</v>
      </c>
      <c r="K34" s="5">
        <v>0.27</v>
      </c>
      <c r="L34" s="5">
        <v>0.2</v>
      </c>
      <c r="M34" s="5">
        <v>0.26</v>
      </c>
      <c r="N34" s="5">
        <v>0.19</v>
      </c>
      <c r="O34" s="14">
        <f t="shared" si="0"/>
        <v>-0.03</v>
      </c>
    </row>
    <row r="35" spans="2:15" ht="16.5" customHeight="1" x14ac:dyDescent="0.25">
      <c r="B35" s="17" t="s">
        <v>21</v>
      </c>
      <c r="C35" s="6" t="s">
        <v>10</v>
      </c>
      <c r="D35" s="3">
        <v>0.13</v>
      </c>
      <c r="E35" s="3">
        <v>0.01</v>
      </c>
      <c r="F35" s="3">
        <v>0.02</v>
      </c>
      <c r="G35" s="3">
        <v>0.04</v>
      </c>
      <c r="H35" s="4">
        <v>7.0000000000000007E-2</v>
      </c>
      <c r="I35" s="4">
        <v>0.03</v>
      </c>
      <c r="J35" s="5">
        <v>0.05</v>
      </c>
      <c r="K35" s="5">
        <v>7.0000000000000007E-2</v>
      </c>
      <c r="L35" s="5">
        <v>0.13</v>
      </c>
      <c r="M35" s="5">
        <v>0.05</v>
      </c>
      <c r="N35" s="5">
        <v>0.16</v>
      </c>
      <c r="O35" s="14">
        <f t="shared" si="0"/>
        <v>0.11</v>
      </c>
    </row>
    <row r="36" spans="2:15" ht="16.5" customHeight="1" x14ac:dyDescent="0.25">
      <c r="B36" s="17" t="s">
        <v>21</v>
      </c>
      <c r="C36" s="6" t="s">
        <v>11</v>
      </c>
      <c r="D36" s="3">
        <v>0.09</v>
      </c>
      <c r="E36" s="3">
        <v>0.06</v>
      </c>
      <c r="F36" s="3">
        <v>0.13</v>
      </c>
      <c r="G36" s="3">
        <v>0.13</v>
      </c>
      <c r="H36" s="4">
        <v>0.11</v>
      </c>
      <c r="I36" s="4">
        <v>0.15</v>
      </c>
      <c r="J36" s="5">
        <v>0.17</v>
      </c>
      <c r="K36" s="5">
        <v>0.09</v>
      </c>
      <c r="L36" s="5">
        <v>0.11</v>
      </c>
      <c r="M36" s="5">
        <v>0.11</v>
      </c>
      <c r="N36" s="5">
        <v>0.14000000000000001</v>
      </c>
      <c r="O36" s="14">
        <f t="shared" si="0"/>
        <v>-0.03</v>
      </c>
    </row>
    <row r="37" spans="2:15" ht="16.5" customHeight="1" x14ac:dyDescent="0.25">
      <c r="B37" s="17" t="s">
        <v>40</v>
      </c>
      <c r="C37" s="6" t="s">
        <v>7</v>
      </c>
      <c r="D37" s="3">
        <v>0.37</v>
      </c>
      <c r="E37" s="3">
        <v>0.09</v>
      </c>
      <c r="F37" s="3">
        <v>0.21</v>
      </c>
      <c r="G37" s="3">
        <v>0.25</v>
      </c>
      <c r="H37" s="4">
        <v>0.25</v>
      </c>
      <c r="I37" s="4">
        <v>0.18</v>
      </c>
      <c r="J37" s="5">
        <v>0.19</v>
      </c>
      <c r="K37" s="5">
        <v>0.25</v>
      </c>
      <c r="L37" s="5">
        <v>0.28999999999999998</v>
      </c>
      <c r="M37" s="5">
        <v>0.2</v>
      </c>
      <c r="N37" s="5">
        <v>0.18</v>
      </c>
      <c r="O37" s="14">
        <f t="shared" si="0"/>
        <v>-1.0000000000000009E-2</v>
      </c>
    </row>
    <row r="38" spans="2:15" ht="16.5" customHeight="1" x14ac:dyDescent="0.25">
      <c r="B38" s="17" t="s">
        <v>16</v>
      </c>
      <c r="C38" s="8" t="s">
        <v>7</v>
      </c>
      <c r="D38" s="3">
        <v>0.34</v>
      </c>
      <c r="E38" s="3">
        <v>0.2</v>
      </c>
      <c r="F38" s="3">
        <v>0.16</v>
      </c>
      <c r="G38" s="3">
        <v>0.27</v>
      </c>
      <c r="H38" s="4">
        <v>0.23</v>
      </c>
      <c r="I38" s="4">
        <v>0.21</v>
      </c>
      <c r="J38" s="7">
        <v>0.25</v>
      </c>
      <c r="K38" s="7">
        <v>0.22</v>
      </c>
      <c r="L38" s="5">
        <v>0.22</v>
      </c>
      <c r="M38" s="5">
        <v>0.19</v>
      </c>
      <c r="N38" s="5">
        <v>0.18</v>
      </c>
      <c r="O38" s="14">
        <f t="shared" si="0"/>
        <v>-7.0000000000000007E-2</v>
      </c>
    </row>
    <row r="39" spans="2:15" ht="16.5" customHeight="1" x14ac:dyDescent="0.25">
      <c r="B39" s="17" t="s">
        <v>16</v>
      </c>
      <c r="C39" s="8" t="s">
        <v>8</v>
      </c>
      <c r="D39" s="3">
        <v>0.11</v>
      </c>
      <c r="E39" s="3">
        <v>0.12</v>
      </c>
      <c r="F39" s="3">
        <v>0.14000000000000001</v>
      </c>
      <c r="G39" s="3">
        <v>0.11</v>
      </c>
      <c r="H39" s="4">
        <v>0.09</v>
      </c>
      <c r="I39" s="4">
        <v>7.0000000000000007E-2</v>
      </c>
      <c r="J39" s="7">
        <v>0.05</v>
      </c>
      <c r="K39" s="7">
        <v>0.05</v>
      </c>
      <c r="L39" s="5">
        <v>0.09</v>
      </c>
      <c r="M39" s="5">
        <v>0.04</v>
      </c>
      <c r="N39" s="5">
        <v>0.03</v>
      </c>
      <c r="O39" s="14">
        <f t="shared" si="0"/>
        <v>-2.0000000000000004E-2</v>
      </c>
    </row>
    <row r="40" spans="2:15" ht="16.5" customHeight="1" x14ac:dyDescent="0.25">
      <c r="B40" s="17" t="s">
        <v>16</v>
      </c>
      <c r="C40" s="8" t="s">
        <v>9</v>
      </c>
      <c r="D40" s="3">
        <v>0.08</v>
      </c>
      <c r="E40" s="3">
        <v>0.13</v>
      </c>
      <c r="F40" s="3">
        <v>0.15</v>
      </c>
      <c r="G40" s="3">
        <v>0.15</v>
      </c>
      <c r="H40" s="4">
        <v>0.2</v>
      </c>
      <c r="I40" s="4">
        <v>0.2</v>
      </c>
      <c r="J40" s="7">
        <v>0.2</v>
      </c>
      <c r="K40" s="7">
        <v>0.22</v>
      </c>
      <c r="L40" s="5">
        <v>0.19</v>
      </c>
      <c r="M40" s="5">
        <v>0.19</v>
      </c>
      <c r="N40" s="5">
        <v>0.17</v>
      </c>
      <c r="O40" s="14">
        <f t="shared" si="0"/>
        <v>-0.03</v>
      </c>
    </row>
    <row r="41" spans="2:15" ht="16.5" customHeight="1" x14ac:dyDescent="0.25">
      <c r="B41" s="17" t="s">
        <v>16</v>
      </c>
      <c r="C41" s="8" t="s">
        <v>10</v>
      </c>
      <c r="D41" s="3">
        <v>0.1</v>
      </c>
      <c r="E41" s="3">
        <v>0.02</v>
      </c>
      <c r="F41" s="3">
        <v>0.04</v>
      </c>
      <c r="G41" s="3">
        <v>0.04</v>
      </c>
      <c r="H41" s="4">
        <v>7.0000000000000007E-2</v>
      </c>
      <c r="I41" s="4">
        <v>0.04</v>
      </c>
      <c r="J41" s="7">
        <v>0.05</v>
      </c>
      <c r="K41" s="7">
        <v>0.04</v>
      </c>
      <c r="L41" s="5">
        <v>0.09</v>
      </c>
      <c r="M41" s="5">
        <v>0.06</v>
      </c>
      <c r="N41" s="5">
        <v>0.14000000000000001</v>
      </c>
      <c r="O41" s="14">
        <f t="shared" si="0"/>
        <v>9.0000000000000011E-2</v>
      </c>
    </row>
    <row r="42" spans="2:15" ht="16.5" customHeight="1" x14ac:dyDescent="0.25">
      <c r="B42" s="17" t="s">
        <v>16</v>
      </c>
      <c r="C42" s="8" t="s">
        <v>11</v>
      </c>
      <c r="D42" s="3">
        <v>0.04</v>
      </c>
      <c r="E42" s="3">
        <v>0.09</v>
      </c>
      <c r="F42" s="3">
        <v>0.11</v>
      </c>
      <c r="G42" s="3">
        <v>0.08</v>
      </c>
      <c r="H42" s="4">
        <v>0.08</v>
      </c>
      <c r="I42" s="4">
        <v>0.09</v>
      </c>
      <c r="J42" s="7">
        <v>0.11</v>
      </c>
      <c r="K42" s="7">
        <v>0.08</v>
      </c>
      <c r="L42" s="5">
        <v>0.08</v>
      </c>
      <c r="M42" s="5">
        <v>0.09</v>
      </c>
      <c r="N42" s="5">
        <v>0.09</v>
      </c>
      <c r="O42" s="14">
        <f t="shared" si="0"/>
        <v>-2.0000000000000004E-2</v>
      </c>
    </row>
    <row r="43" spans="2:15" ht="16.5" customHeight="1" x14ac:dyDescent="0.25">
      <c r="B43" s="17" t="s">
        <v>17</v>
      </c>
      <c r="C43" s="6" t="s">
        <v>7</v>
      </c>
      <c r="D43" s="3">
        <v>0.27</v>
      </c>
      <c r="E43" s="3">
        <v>0.21</v>
      </c>
      <c r="F43" s="3">
        <v>0.19</v>
      </c>
      <c r="G43" s="3">
        <v>0.24</v>
      </c>
      <c r="H43" s="4">
        <v>0.22</v>
      </c>
      <c r="I43" s="4">
        <v>0.19</v>
      </c>
      <c r="J43" s="7">
        <v>0.18</v>
      </c>
      <c r="K43" s="7">
        <v>0.25</v>
      </c>
      <c r="L43" s="5">
        <v>0.18</v>
      </c>
      <c r="M43" s="5">
        <v>0.18</v>
      </c>
      <c r="N43" s="5">
        <v>0.17</v>
      </c>
      <c r="O43" s="14">
        <f t="shared" si="0"/>
        <v>-9.9999999999999811E-3</v>
      </c>
    </row>
    <row r="44" spans="2:15" ht="16.5" customHeight="1" x14ac:dyDescent="0.25">
      <c r="B44" s="17" t="s">
        <v>17</v>
      </c>
      <c r="C44" s="6" t="s">
        <v>8</v>
      </c>
      <c r="D44" s="3">
        <v>0.12</v>
      </c>
      <c r="E44" s="3">
        <v>0.12</v>
      </c>
      <c r="F44" s="3">
        <v>0.11</v>
      </c>
      <c r="G44" s="3">
        <v>0.09</v>
      </c>
      <c r="H44" s="4">
        <v>0.12</v>
      </c>
      <c r="I44" s="4">
        <v>0.08</v>
      </c>
      <c r="J44" s="7">
        <v>0.23</v>
      </c>
      <c r="K44" s="7">
        <v>0.04</v>
      </c>
      <c r="L44" s="5">
        <v>0.06</v>
      </c>
      <c r="M44" s="5">
        <v>0.05</v>
      </c>
      <c r="N44" s="5">
        <v>0.05</v>
      </c>
      <c r="O44" s="14">
        <f t="shared" si="0"/>
        <v>-0.18</v>
      </c>
    </row>
    <row r="45" spans="2:15" ht="16.5" customHeight="1" x14ac:dyDescent="0.25">
      <c r="B45" s="17" t="s">
        <v>17</v>
      </c>
      <c r="C45" s="6" t="s">
        <v>9</v>
      </c>
      <c r="D45" s="3">
        <v>0.12</v>
      </c>
      <c r="E45" s="3">
        <v>0.16</v>
      </c>
      <c r="F45" s="3">
        <v>0.16</v>
      </c>
      <c r="G45" s="3">
        <v>0.15</v>
      </c>
      <c r="H45" s="4">
        <v>0.19</v>
      </c>
      <c r="I45" s="4">
        <v>0.22</v>
      </c>
      <c r="J45" s="7">
        <v>0.23</v>
      </c>
      <c r="K45" s="7">
        <v>0.24</v>
      </c>
      <c r="L45" s="5">
        <v>0.25</v>
      </c>
      <c r="M45" s="5">
        <v>0.21</v>
      </c>
      <c r="N45" s="5">
        <v>0.22</v>
      </c>
      <c r="O45" s="14">
        <f t="shared" si="0"/>
        <v>-1.0000000000000009E-2</v>
      </c>
    </row>
    <row r="46" spans="2:15" ht="16.5" customHeight="1" x14ac:dyDescent="0.25">
      <c r="B46" s="17" t="s">
        <v>17</v>
      </c>
      <c r="C46" s="6" t="s">
        <v>10</v>
      </c>
      <c r="D46" s="3">
        <v>0.03</v>
      </c>
      <c r="E46" s="3">
        <v>0.02</v>
      </c>
      <c r="F46" s="3">
        <v>0.02</v>
      </c>
      <c r="G46" s="3">
        <v>0.02</v>
      </c>
      <c r="H46" s="4">
        <v>0.03</v>
      </c>
      <c r="I46" s="4">
        <v>0.02</v>
      </c>
      <c r="J46" s="7">
        <v>0.02</v>
      </c>
      <c r="K46" s="7">
        <v>0.02</v>
      </c>
      <c r="L46" s="5">
        <v>0.04</v>
      </c>
      <c r="M46" s="5">
        <v>0.03</v>
      </c>
      <c r="N46" s="5">
        <v>7.0000000000000007E-2</v>
      </c>
      <c r="O46" s="14">
        <f t="shared" si="0"/>
        <v>0.05</v>
      </c>
    </row>
    <row r="47" spans="2:15" ht="16.5" customHeight="1" x14ac:dyDescent="0.25">
      <c r="B47" s="17" t="s">
        <v>17</v>
      </c>
      <c r="C47" s="6" t="s">
        <v>11</v>
      </c>
      <c r="D47" s="3">
        <v>0.09</v>
      </c>
      <c r="E47" s="3">
        <v>0.11</v>
      </c>
      <c r="F47" s="3">
        <v>0.15</v>
      </c>
      <c r="G47" s="3">
        <v>0.11</v>
      </c>
      <c r="H47" s="4">
        <v>0.1</v>
      </c>
      <c r="I47" s="4">
        <v>0.13</v>
      </c>
      <c r="J47" s="7">
        <v>0.06</v>
      </c>
      <c r="K47" s="7">
        <v>0.12</v>
      </c>
      <c r="L47" s="5">
        <v>0.09</v>
      </c>
      <c r="M47" s="5">
        <v>0.15</v>
      </c>
      <c r="N47" s="5">
        <v>0.16</v>
      </c>
      <c r="O47" s="14">
        <f t="shared" si="0"/>
        <v>0.1</v>
      </c>
    </row>
    <row r="48" spans="2:15" ht="16.5" customHeight="1" x14ac:dyDescent="0.25">
      <c r="B48" s="17" t="s">
        <v>28</v>
      </c>
      <c r="C48" s="6" t="s">
        <v>7</v>
      </c>
      <c r="D48" s="3">
        <v>0.14000000000000001</v>
      </c>
      <c r="E48" s="3">
        <v>0.11</v>
      </c>
      <c r="F48" s="3">
        <v>0.08</v>
      </c>
      <c r="G48" s="3">
        <v>0.14000000000000001</v>
      </c>
      <c r="H48" s="4">
        <v>0.14000000000000001</v>
      </c>
      <c r="I48" s="4">
        <v>0.11</v>
      </c>
      <c r="J48" s="7">
        <v>0.11</v>
      </c>
      <c r="K48" s="7">
        <v>0.13</v>
      </c>
      <c r="L48" s="5">
        <v>0.16</v>
      </c>
      <c r="M48" s="5">
        <v>0.12</v>
      </c>
      <c r="N48" s="5">
        <v>0.13</v>
      </c>
      <c r="O48" s="14">
        <f t="shared" si="0"/>
        <v>2.0000000000000004E-2</v>
      </c>
    </row>
    <row r="49" spans="2:15" ht="16.5" customHeight="1" x14ac:dyDescent="0.25">
      <c r="B49" s="17" t="s">
        <v>28</v>
      </c>
      <c r="C49" s="6" t="s">
        <v>8</v>
      </c>
      <c r="D49" s="3">
        <v>0.1</v>
      </c>
      <c r="E49" s="3">
        <v>0.15</v>
      </c>
      <c r="F49" s="3">
        <v>0.11</v>
      </c>
      <c r="G49" s="3">
        <v>0.08</v>
      </c>
      <c r="H49" s="4">
        <v>7.0000000000000007E-2</v>
      </c>
      <c r="I49" s="4">
        <v>0.08</v>
      </c>
      <c r="J49" s="7">
        <v>0.05</v>
      </c>
      <c r="K49" s="7">
        <v>0.06</v>
      </c>
      <c r="L49" s="5">
        <v>0.05</v>
      </c>
      <c r="M49" s="5">
        <v>0.05</v>
      </c>
      <c r="N49" s="5">
        <v>0.03</v>
      </c>
      <c r="O49" s="14">
        <f t="shared" si="0"/>
        <v>-2.0000000000000004E-2</v>
      </c>
    </row>
    <row r="50" spans="2:15" ht="16.5" customHeight="1" x14ac:dyDescent="0.25">
      <c r="B50" s="17" t="s">
        <v>28</v>
      </c>
      <c r="C50" s="6" t="s">
        <v>9</v>
      </c>
      <c r="D50" s="3">
        <v>0.1</v>
      </c>
      <c r="E50" s="3">
        <v>0.14000000000000001</v>
      </c>
      <c r="F50" s="3">
        <v>0.14000000000000001</v>
      </c>
      <c r="G50" s="3">
        <v>0.12</v>
      </c>
      <c r="H50" s="4">
        <v>0.17</v>
      </c>
      <c r="I50" s="4">
        <v>0.23</v>
      </c>
      <c r="J50" s="7">
        <v>0.21</v>
      </c>
      <c r="K50" s="7">
        <v>0.25</v>
      </c>
      <c r="L50" s="5">
        <v>0.19</v>
      </c>
      <c r="M50" s="5">
        <v>0.25</v>
      </c>
      <c r="N50" s="5">
        <v>0.17</v>
      </c>
      <c r="O50" s="14">
        <f t="shared" si="0"/>
        <v>-3.999999999999998E-2</v>
      </c>
    </row>
    <row r="51" spans="2:15" ht="16.5" customHeight="1" x14ac:dyDescent="0.25">
      <c r="B51" s="17" t="s">
        <v>28</v>
      </c>
      <c r="C51" s="6" t="s">
        <v>10</v>
      </c>
      <c r="D51" s="3">
        <v>0.15</v>
      </c>
      <c r="E51" s="3">
        <v>0.03</v>
      </c>
      <c r="F51" s="3">
        <v>0.03</v>
      </c>
      <c r="G51" s="3">
        <v>0.11</v>
      </c>
      <c r="H51" s="4">
        <v>0.08</v>
      </c>
      <c r="I51" s="4">
        <v>0.06</v>
      </c>
      <c r="J51" s="7">
        <v>0.04</v>
      </c>
      <c r="K51" s="7">
        <v>0.09</v>
      </c>
      <c r="L51" s="5">
        <v>0.19</v>
      </c>
      <c r="M51" s="5">
        <v>0.03</v>
      </c>
      <c r="N51" s="5">
        <v>7.0000000000000007E-2</v>
      </c>
      <c r="O51" s="14">
        <f t="shared" si="0"/>
        <v>3.0000000000000006E-2</v>
      </c>
    </row>
    <row r="52" spans="2:15" ht="16.5" customHeight="1" x14ac:dyDescent="0.25">
      <c r="B52" s="17" t="s">
        <v>28</v>
      </c>
      <c r="C52" s="6" t="s">
        <v>11</v>
      </c>
      <c r="D52" s="3">
        <v>0.11</v>
      </c>
      <c r="E52" s="3">
        <v>0.2</v>
      </c>
      <c r="F52" s="3">
        <v>0.26</v>
      </c>
      <c r="G52" s="3">
        <v>0.18</v>
      </c>
      <c r="H52" s="4">
        <v>0.2</v>
      </c>
      <c r="I52" s="4">
        <v>0.21</v>
      </c>
      <c r="J52" s="7">
        <v>0.23</v>
      </c>
      <c r="K52" s="7">
        <v>0.16</v>
      </c>
      <c r="L52" s="5">
        <v>0.16</v>
      </c>
      <c r="M52" s="5">
        <v>0.22</v>
      </c>
      <c r="N52" s="5">
        <v>0.26</v>
      </c>
      <c r="O52" s="14">
        <f t="shared" si="0"/>
        <v>0.03</v>
      </c>
    </row>
    <row r="53" spans="2:15" ht="16.5" customHeight="1" x14ac:dyDescent="0.25">
      <c r="B53" s="17" t="s">
        <v>25</v>
      </c>
      <c r="C53" s="6" t="s">
        <v>7</v>
      </c>
      <c r="D53" s="3">
        <v>0.13</v>
      </c>
      <c r="E53" s="3">
        <v>0.05</v>
      </c>
      <c r="F53" s="3">
        <v>0.04</v>
      </c>
      <c r="G53" s="3">
        <v>7.0000000000000007E-2</v>
      </c>
      <c r="H53" s="4">
        <v>0.04</v>
      </c>
      <c r="I53" s="4">
        <v>0.04</v>
      </c>
      <c r="J53" s="7">
        <v>0.03</v>
      </c>
      <c r="K53" s="7">
        <v>0.09</v>
      </c>
      <c r="L53" s="5">
        <v>0.05</v>
      </c>
      <c r="M53" s="5">
        <v>0.06</v>
      </c>
      <c r="N53" s="5">
        <v>0.05</v>
      </c>
      <c r="O53" s="14">
        <f t="shared" si="0"/>
        <v>2.0000000000000004E-2</v>
      </c>
    </row>
    <row r="54" spans="2:15" ht="16.5" customHeight="1" x14ac:dyDescent="0.25">
      <c r="B54" s="17" t="s">
        <v>25</v>
      </c>
      <c r="C54" s="6" t="s">
        <v>8</v>
      </c>
      <c r="D54" s="3">
        <v>0.11</v>
      </c>
      <c r="E54" s="3">
        <v>0.1</v>
      </c>
      <c r="F54" s="3">
        <v>0.08</v>
      </c>
      <c r="G54" s="3">
        <v>0.08</v>
      </c>
      <c r="H54" s="4">
        <v>0.1</v>
      </c>
      <c r="I54" s="4">
        <v>0.06</v>
      </c>
      <c r="J54" s="7">
        <v>0.05</v>
      </c>
      <c r="K54" s="7">
        <v>0.03</v>
      </c>
      <c r="L54" s="5">
        <v>0.05</v>
      </c>
      <c r="M54" s="5">
        <v>0.04</v>
      </c>
      <c r="N54" s="5">
        <v>0.03</v>
      </c>
      <c r="O54" s="14">
        <f t="shared" si="0"/>
        <v>-2.0000000000000004E-2</v>
      </c>
    </row>
    <row r="55" spans="2:15" ht="16.5" customHeight="1" x14ac:dyDescent="0.25">
      <c r="B55" s="17" t="s">
        <v>25</v>
      </c>
      <c r="C55" s="6" t="s">
        <v>9</v>
      </c>
      <c r="D55" s="3">
        <v>0.14000000000000001</v>
      </c>
      <c r="E55" s="3">
        <v>0.16</v>
      </c>
      <c r="F55" s="3">
        <v>0.16</v>
      </c>
      <c r="G55" s="3">
        <v>0.18</v>
      </c>
      <c r="H55" s="4">
        <v>0.23</v>
      </c>
      <c r="I55" s="4">
        <v>0.28000000000000003</v>
      </c>
      <c r="J55" s="7">
        <v>0.26</v>
      </c>
      <c r="K55" s="7">
        <v>0.27</v>
      </c>
      <c r="L55" s="5">
        <v>0.32</v>
      </c>
      <c r="M55" s="5">
        <v>0.24</v>
      </c>
      <c r="N55" s="5">
        <v>0.24</v>
      </c>
      <c r="O55" s="14">
        <f t="shared" si="0"/>
        <v>-2.0000000000000018E-2</v>
      </c>
    </row>
    <row r="56" spans="2:15" ht="16.5" customHeight="1" x14ac:dyDescent="0.25">
      <c r="B56" s="17" t="s">
        <v>25</v>
      </c>
      <c r="C56" s="6" t="s">
        <v>10</v>
      </c>
      <c r="D56" s="3">
        <v>0.08</v>
      </c>
      <c r="E56" s="3">
        <v>0.02</v>
      </c>
      <c r="F56" s="3">
        <v>0.05</v>
      </c>
      <c r="G56" s="3">
        <v>0.05</v>
      </c>
      <c r="H56" s="4">
        <v>0.05</v>
      </c>
      <c r="I56" s="4">
        <v>0.05</v>
      </c>
      <c r="J56" s="7">
        <v>0.06</v>
      </c>
      <c r="K56" s="7">
        <v>0.12</v>
      </c>
      <c r="L56" s="5">
        <v>7.0000000000000007E-2</v>
      </c>
      <c r="M56" s="5">
        <v>7.0000000000000007E-2</v>
      </c>
      <c r="N56" s="5">
        <v>0.1</v>
      </c>
      <c r="O56" s="14">
        <f t="shared" si="0"/>
        <v>4.0000000000000008E-2</v>
      </c>
    </row>
    <row r="57" spans="2:15" ht="16.5" customHeight="1" x14ac:dyDescent="0.25">
      <c r="B57" s="17" t="s">
        <v>25</v>
      </c>
      <c r="C57" s="6" t="s">
        <v>11</v>
      </c>
      <c r="D57" s="3">
        <v>0.09</v>
      </c>
      <c r="E57" s="3">
        <v>0.17</v>
      </c>
      <c r="F57" s="3">
        <v>0.17</v>
      </c>
      <c r="G57" s="3">
        <v>0.12</v>
      </c>
      <c r="H57" s="4">
        <v>0.12</v>
      </c>
      <c r="I57" s="4">
        <v>0.15</v>
      </c>
      <c r="J57" s="7">
        <v>0.18</v>
      </c>
      <c r="K57" s="7">
        <v>0.09</v>
      </c>
      <c r="L57" s="5">
        <v>0.13</v>
      </c>
      <c r="M57" s="5">
        <v>0.14000000000000001</v>
      </c>
      <c r="N57" s="5">
        <v>0.15</v>
      </c>
      <c r="O57" s="14">
        <f t="shared" si="0"/>
        <v>-0.03</v>
      </c>
    </row>
    <row r="58" spans="2:15" ht="16.5" customHeight="1" x14ac:dyDescent="0.25">
      <c r="B58" s="17" t="s">
        <v>23</v>
      </c>
      <c r="C58" s="6" t="s">
        <v>7</v>
      </c>
      <c r="D58" s="3">
        <v>7.0000000000000007E-2</v>
      </c>
      <c r="E58" s="3">
        <v>0.02</v>
      </c>
      <c r="F58" s="3">
        <v>0.01</v>
      </c>
      <c r="G58" s="3">
        <v>0.04</v>
      </c>
      <c r="H58" s="4">
        <v>0.05</v>
      </c>
      <c r="I58" s="4">
        <v>0.01</v>
      </c>
      <c r="J58" s="7">
        <v>0.01</v>
      </c>
      <c r="K58" s="7">
        <v>0.08</v>
      </c>
      <c r="L58" s="5">
        <v>0.05</v>
      </c>
      <c r="M58" s="5">
        <v>0.02</v>
      </c>
      <c r="N58" s="5">
        <v>0.03</v>
      </c>
      <c r="O58" s="14">
        <f t="shared" si="0"/>
        <v>1.9999999999999997E-2</v>
      </c>
    </row>
    <row r="59" spans="2:15" ht="16.5" customHeight="1" x14ac:dyDescent="0.25">
      <c r="B59" s="17" t="s">
        <v>23</v>
      </c>
      <c r="C59" s="6" t="s">
        <v>8</v>
      </c>
      <c r="D59" s="3">
        <v>0.02</v>
      </c>
      <c r="E59" s="3">
        <v>0.03</v>
      </c>
      <c r="F59" s="3">
        <v>0.02</v>
      </c>
      <c r="G59" s="3">
        <v>0.01</v>
      </c>
      <c r="H59" s="4">
        <v>0.02</v>
      </c>
      <c r="I59" s="4">
        <v>0.02</v>
      </c>
      <c r="J59" s="7">
        <v>0.02</v>
      </c>
      <c r="K59" s="7">
        <v>0.01</v>
      </c>
      <c r="L59" s="5">
        <v>0.03</v>
      </c>
      <c r="M59" s="5">
        <v>0.03</v>
      </c>
      <c r="N59" s="5">
        <v>0.01</v>
      </c>
      <c r="O59" s="14">
        <f t="shared" si="0"/>
        <v>-0.01</v>
      </c>
    </row>
    <row r="60" spans="2:15" ht="16.5" customHeight="1" x14ac:dyDescent="0.25">
      <c r="B60" s="17" t="s">
        <v>23</v>
      </c>
      <c r="C60" s="6" t="s">
        <v>9</v>
      </c>
      <c r="D60" s="3">
        <v>0.15</v>
      </c>
      <c r="E60" s="3">
        <v>0.17</v>
      </c>
      <c r="F60" s="3">
        <v>0.12</v>
      </c>
      <c r="G60" s="3">
        <v>0.13</v>
      </c>
      <c r="H60" s="4">
        <v>0.15</v>
      </c>
      <c r="I60" s="4">
        <v>0.17</v>
      </c>
      <c r="J60" s="7">
        <v>0.11</v>
      </c>
      <c r="K60" s="7">
        <v>0.15</v>
      </c>
      <c r="L60" s="5">
        <v>0.2</v>
      </c>
      <c r="M60" s="5">
        <v>0.13</v>
      </c>
      <c r="N60" s="5">
        <v>0.1</v>
      </c>
      <c r="O60" s="14">
        <f t="shared" si="0"/>
        <v>-9.999999999999995E-3</v>
      </c>
    </row>
    <row r="61" spans="2:15" ht="16.5" customHeight="1" x14ac:dyDescent="0.25">
      <c r="B61" s="17" t="s">
        <v>23</v>
      </c>
      <c r="C61" s="6" t="s">
        <v>10</v>
      </c>
      <c r="D61" s="3">
        <v>0.06</v>
      </c>
      <c r="E61" s="3">
        <v>0.03</v>
      </c>
      <c r="F61" s="3">
        <v>0.09</v>
      </c>
      <c r="G61" s="3">
        <v>0.05</v>
      </c>
      <c r="H61" s="4">
        <v>7.0000000000000007E-2</v>
      </c>
      <c r="I61" s="4">
        <v>0.04</v>
      </c>
      <c r="J61" s="7">
        <v>0.2</v>
      </c>
      <c r="K61" s="7">
        <v>0.12</v>
      </c>
      <c r="L61" s="5">
        <v>0.08</v>
      </c>
      <c r="M61" s="5">
        <v>0.06</v>
      </c>
      <c r="N61" s="5">
        <v>0.24</v>
      </c>
      <c r="O61" s="14">
        <f t="shared" si="0"/>
        <v>3.999999999999998E-2</v>
      </c>
    </row>
    <row r="62" spans="2:15" ht="16.5" customHeight="1" x14ac:dyDescent="0.25">
      <c r="B62" s="17" t="s">
        <v>23</v>
      </c>
      <c r="C62" s="6" t="s">
        <v>11</v>
      </c>
      <c r="D62" s="3">
        <v>0.01</v>
      </c>
      <c r="E62" s="3">
        <v>0.05</v>
      </c>
      <c r="F62" s="3">
        <v>0.04</v>
      </c>
      <c r="G62" s="3">
        <v>0.03</v>
      </c>
      <c r="H62" s="4">
        <v>0.05</v>
      </c>
      <c r="I62" s="4">
        <v>0.04</v>
      </c>
      <c r="J62" s="7">
        <v>0.05</v>
      </c>
      <c r="K62" s="7">
        <v>0.03</v>
      </c>
      <c r="L62" s="5">
        <v>0.03</v>
      </c>
      <c r="M62" s="5">
        <v>0.04</v>
      </c>
      <c r="N62" s="5">
        <v>0.06</v>
      </c>
      <c r="O62" s="14">
        <f t="shared" si="0"/>
        <v>9.999999999999995E-3</v>
      </c>
    </row>
    <row r="63" spans="2:15" ht="16.5" customHeight="1" x14ac:dyDescent="0.25">
      <c r="B63" s="17" t="s">
        <v>24</v>
      </c>
      <c r="C63" s="6" t="s">
        <v>7</v>
      </c>
      <c r="D63" s="3">
        <v>0.28999999999999998</v>
      </c>
      <c r="E63" s="3">
        <v>0.2</v>
      </c>
      <c r="F63" s="3">
        <v>0.18</v>
      </c>
      <c r="G63" s="3">
        <v>0.24</v>
      </c>
      <c r="H63" s="11">
        <v>0.27</v>
      </c>
      <c r="I63" s="4">
        <v>0.23</v>
      </c>
      <c r="J63" s="7">
        <v>0.24</v>
      </c>
      <c r="K63" s="7">
        <v>0.28999999999999998</v>
      </c>
      <c r="L63" s="5">
        <v>0.34</v>
      </c>
      <c r="M63" s="5">
        <v>0.24</v>
      </c>
      <c r="N63" s="5">
        <v>0.24</v>
      </c>
      <c r="O63" s="14">
        <f t="shared" si="0"/>
        <v>0</v>
      </c>
    </row>
    <row r="64" spans="2:15" ht="16.5" customHeight="1" x14ac:dyDescent="0.25">
      <c r="B64" s="17" t="s">
        <v>24</v>
      </c>
      <c r="C64" s="6" t="s">
        <v>8</v>
      </c>
      <c r="D64" s="3">
        <v>0.08</v>
      </c>
      <c r="E64" s="3">
        <v>0.09</v>
      </c>
      <c r="F64" s="3">
        <v>0.09</v>
      </c>
      <c r="G64" s="3">
        <v>7.0000000000000007E-2</v>
      </c>
      <c r="H64" s="11">
        <v>7.0000000000000007E-2</v>
      </c>
      <c r="I64" s="4">
        <v>7.0000000000000007E-2</v>
      </c>
      <c r="J64" s="7">
        <v>0.04</v>
      </c>
      <c r="K64" s="7">
        <v>0.02</v>
      </c>
      <c r="L64" s="5">
        <v>0.03</v>
      </c>
      <c r="M64" s="5">
        <v>0.04</v>
      </c>
      <c r="N64" s="5">
        <v>0.04</v>
      </c>
      <c r="O64" s="14">
        <f t="shared" si="0"/>
        <v>0</v>
      </c>
    </row>
    <row r="65" spans="2:15" ht="16.5" customHeight="1" x14ac:dyDescent="0.25">
      <c r="B65" s="17" t="s">
        <v>24</v>
      </c>
      <c r="C65" s="6" t="s">
        <v>9</v>
      </c>
      <c r="D65" s="3">
        <v>0.08</v>
      </c>
      <c r="E65" s="3">
        <v>0.09</v>
      </c>
      <c r="F65" s="3">
        <v>0.11</v>
      </c>
      <c r="G65" s="3">
        <v>0.11</v>
      </c>
      <c r="H65" s="11">
        <v>0.11</v>
      </c>
      <c r="I65" s="4">
        <v>0.18</v>
      </c>
      <c r="J65" s="7">
        <v>0.16</v>
      </c>
      <c r="K65" s="7">
        <v>0.17</v>
      </c>
      <c r="L65" s="5">
        <v>0.1</v>
      </c>
      <c r="M65" s="5">
        <v>0.19</v>
      </c>
      <c r="N65" s="5">
        <v>0.12</v>
      </c>
      <c r="O65" s="14">
        <f t="shared" si="0"/>
        <v>-4.0000000000000008E-2</v>
      </c>
    </row>
    <row r="66" spans="2:15" ht="16.5" customHeight="1" x14ac:dyDescent="0.25">
      <c r="B66" s="17" t="s">
        <v>24</v>
      </c>
      <c r="C66" s="6" t="s">
        <v>10</v>
      </c>
      <c r="D66" s="3">
        <v>0.17</v>
      </c>
      <c r="E66" s="3">
        <v>0.04</v>
      </c>
      <c r="F66" s="3">
        <v>0.06</v>
      </c>
      <c r="G66" s="3">
        <v>0.04</v>
      </c>
      <c r="H66" s="11">
        <v>0.09</v>
      </c>
      <c r="I66" s="4">
        <v>0.04</v>
      </c>
      <c r="J66" s="7">
        <v>0.08</v>
      </c>
      <c r="K66" s="7">
        <v>0.11</v>
      </c>
      <c r="L66" s="5">
        <v>0.18</v>
      </c>
      <c r="M66" s="5">
        <v>7.0000000000000007E-2</v>
      </c>
      <c r="N66" s="5">
        <v>0.08</v>
      </c>
      <c r="O66" s="14">
        <f t="shared" si="0"/>
        <v>0</v>
      </c>
    </row>
    <row r="67" spans="2:15" ht="16.5" customHeight="1" x14ac:dyDescent="0.25">
      <c r="B67" s="17" t="s">
        <v>24</v>
      </c>
      <c r="C67" s="6" t="s">
        <v>11</v>
      </c>
      <c r="D67" s="3">
        <v>0.06</v>
      </c>
      <c r="E67" s="3">
        <v>0.1</v>
      </c>
      <c r="F67" s="3">
        <v>0.12</v>
      </c>
      <c r="G67" s="3">
        <v>0.09</v>
      </c>
      <c r="H67" s="11">
        <v>0.09</v>
      </c>
      <c r="I67" s="4">
        <v>0.11</v>
      </c>
      <c r="J67" s="7">
        <v>0.14000000000000001</v>
      </c>
      <c r="K67" s="7">
        <v>0.09</v>
      </c>
      <c r="L67" s="5">
        <v>0.09</v>
      </c>
      <c r="M67" s="5">
        <v>0.11</v>
      </c>
      <c r="N67" s="5">
        <v>0.13</v>
      </c>
      <c r="O67" s="14">
        <f t="shared" si="0"/>
        <v>-1.0000000000000009E-2</v>
      </c>
    </row>
    <row r="68" spans="2:15" ht="34.5" customHeight="1" x14ac:dyDescent="0.25">
      <c r="B68" s="17" t="s">
        <v>29</v>
      </c>
      <c r="C68" s="6" t="s">
        <v>7</v>
      </c>
      <c r="D68" s="3">
        <v>0.25</v>
      </c>
      <c r="E68" s="3">
        <v>0.18</v>
      </c>
      <c r="F68" s="3">
        <v>0.15</v>
      </c>
      <c r="G68" s="3">
        <v>0.23</v>
      </c>
      <c r="H68" s="4">
        <v>0.21</v>
      </c>
      <c r="I68" s="4">
        <v>0.22</v>
      </c>
      <c r="J68" s="7">
        <v>0.18</v>
      </c>
      <c r="K68" s="7">
        <v>0.19</v>
      </c>
      <c r="L68" s="5">
        <v>0.23</v>
      </c>
      <c r="M68" s="5">
        <v>0.18</v>
      </c>
      <c r="N68" s="5">
        <v>0.16</v>
      </c>
      <c r="O68" s="14">
        <f t="shared" ref="O68:O72" si="1">+N68-J68</f>
        <v>-1.999999999999999E-2</v>
      </c>
    </row>
    <row r="69" spans="2:15" ht="42.75" customHeight="1" x14ac:dyDescent="0.25">
      <c r="B69" s="17" t="s">
        <v>29</v>
      </c>
      <c r="C69" s="6" t="s">
        <v>8</v>
      </c>
      <c r="D69" s="3">
        <v>0.17</v>
      </c>
      <c r="E69" s="3">
        <v>0.12</v>
      </c>
      <c r="F69" s="3">
        <v>0.1</v>
      </c>
      <c r="G69" s="3">
        <v>0.09</v>
      </c>
      <c r="H69" s="4">
        <v>7.0000000000000007E-2</v>
      </c>
      <c r="I69" s="4">
        <v>7.0000000000000007E-2</v>
      </c>
      <c r="J69" s="7">
        <v>7.0000000000000007E-2</v>
      </c>
      <c r="K69" s="7">
        <v>0.05</v>
      </c>
      <c r="L69" s="5">
        <v>0.09</v>
      </c>
      <c r="M69" s="5">
        <v>0.06</v>
      </c>
      <c r="N69" s="5">
        <v>0.03</v>
      </c>
      <c r="O69" s="14">
        <f t="shared" si="1"/>
        <v>-4.0000000000000008E-2</v>
      </c>
    </row>
    <row r="70" spans="2:15" ht="33.75" customHeight="1" x14ac:dyDescent="0.25">
      <c r="B70" s="17" t="s">
        <v>29</v>
      </c>
      <c r="C70" s="6" t="s">
        <v>9</v>
      </c>
      <c r="D70" s="3">
        <v>0.14000000000000001</v>
      </c>
      <c r="E70" s="3">
        <v>0.18</v>
      </c>
      <c r="F70" s="3">
        <v>0.2</v>
      </c>
      <c r="G70" s="3">
        <v>0.18</v>
      </c>
      <c r="H70" s="4">
        <v>0.25</v>
      </c>
      <c r="I70" s="4">
        <v>0.3</v>
      </c>
      <c r="J70" s="7">
        <v>0.25</v>
      </c>
      <c r="K70" s="7">
        <v>0.28000000000000003</v>
      </c>
      <c r="L70" s="5">
        <v>0.24</v>
      </c>
      <c r="M70" s="5">
        <v>0.28000000000000003</v>
      </c>
      <c r="N70" s="5">
        <v>0.22</v>
      </c>
      <c r="O70" s="14">
        <f t="shared" si="1"/>
        <v>-0.03</v>
      </c>
    </row>
    <row r="71" spans="2:15" ht="52.5" customHeight="1" x14ac:dyDescent="0.25">
      <c r="B71" s="17" t="s">
        <v>29</v>
      </c>
      <c r="C71" s="6" t="s">
        <v>10</v>
      </c>
      <c r="D71" s="3">
        <v>0.02</v>
      </c>
      <c r="E71" s="3">
        <v>0.01</v>
      </c>
      <c r="F71" s="3">
        <v>0.02</v>
      </c>
      <c r="G71" s="3">
        <v>0.01</v>
      </c>
      <c r="H71" s="4">
        <v>0.02</v>
      </c>
      <c r="I71" s="4">
        <v>0.02</v>
      </c>
      <c r="J71" s="7">
        <v>0.02</v>
      </c>
      <c r="K71" s="7">
        <v>0.02</v>
      </c>
      <c r="L71" s="5">
        <v>0.05</v>
      </c>
      <c r="M71" s="5">
        <v>0.02</v>
      </c>
      <c r="N71" s="5">
        <v>0.13</v>
      </c>
      <c r="O71" s="14">
        <f t="shared" si="1"/>
        <v>0.11</v>
      </c>
    </row>
    <row r="72" spans="2:15" ht="36.75" customHeight="1" x14ac:dyDescent="0.25">
      <c r="B72" s="17" t="s">
        <v>29</v>
      </c>
      <c r="C72" s="6" t="s">
        <v>11</v>
      </c>
      <c r="D72" s="3">
        <v>0.06</v>
      </c>
      <c r="E72" s="3">
        <v>0.12</v>
      </c>
      <c r="F72" s="3">
        <v>0.09</v>
      </c>
      <c r="G72" s="3">
        <v>0.05</v>
      </c>
      <c r="H72" s="4">
        <v>7.0000000000000007E-2</v>
      </c>
      <c r="I72" s="4">
        <v>7.0000000000000007E-2</v>
      </c>
      <c r="J72" s="7">
        <v>0.09</v>
      </c>
      <c r="K72" s="7">
        <v>0.05</v>
      </c>
      <c r="L72" s="5">
        <v>7.0000000000000007E-2</v>
      </c>
      <c r="M72" s="5">
        <v>7.0000000000000007E-2</v>
      </c>
      <c r="N72" s="5">
        <v>0.1</v>
      </c>
      <c r="O72" s="14">
        <f t="shared" si="1"/>
        <v>1.0000000000000009E-2</v>
      </c>
    </row>
  </sheetData>
  <autoFilter ref="B2:O72" xr:uid="{00000000-0001-0000-0000-000000000000}">
    <sortState xmlns:xlrd2="http://schemas.microsoft.com/office/spreadsheetml/2017/richdata2" ref="B4:O72">
      <sortCondition ref="B2:B72"/>
    </sortState>
  </autoFilter>
  <mergeCells count="5">
    <mergeCell ref="L1:N1"/>
    <mergeCell ref="B1:B2"/>
    <mergeCell ref="C1:C2"/>
    <mergeCell ref="D1:G1"/>
    <mergeCell ref="H1:K1"/>
  </mergeCells>
  <conditionalFormatting sqref="O3:O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O7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0CC2-9292-48E6-894D-02FE265C9E30}">
  <dimension ref="A1:W328"/>
  <sheetViews>
    <sheetView tabSelected="1" zoomScale="93" zoomScaleNormal="93" workbookViewId="0">
      <selection activeCell="S19" sqref="S19"/>
    </sheetView>
  </sheetViews>
  <sheetFormatPr defaultRowHeight="18.75" x14ac:dyDescent="0.3"/>
  <cols>
    <col min="1" max="1" width="42.42578125" customWidth="1"/>
    <col min="2" max="2" width="29.7109375" customWidth="1"/>
    <col min="3" max="4" width="11.5703125" hidden="1" customWidth="1"/>
    <col min="5" max="5" width="7.5703125" hidden="1" customWidth="1"/>
    <col min="6" max="6" width="11.28515625" hidden="1" customWidth="1"/>
    <col min="7" max="7" width="14.7109375" hidden="1" customWidth="1"/>
    <col min="8" max="8" width="17.85546875" hidden="1" customWidth="1"/>
    <col min="9" max="9" width="10.7109375" hidden="1" customWidth="1"/>
    <col min="10" max="10" width="11.140625" style="25" hidden="1" customWidth="1"/>
    <col min="11" max="14" width="13.42578125" style="25" hidden="1" customWidth="1"/>
    <col min="15" max="18" width="13.42578125" style="25" customWidth="1"/>
    <col min="19" max="19" width="15.42578125" style="25" customWidth="1"/>
    <col min="20" max="20" width="22.7109375" customWidth="1"/>
  </cols>
  <sheetData>
    <row r="1" spans="1:23" ht="31.5" customHeight="1" x14ac:dyDescent="0.3">
      <c r="A1" s="40" t="s">
        <v>41</v>
      </c>
      <c r="B1" s="42" t="s">
        <v>13</v>
      </c>
      <c r="C1" s="36" t="s">
        <v>1</v>
      </c>
      <c r="D1" s="36"/>
      <c r="E1" s="36"/>
      <c r="F1" s="36"/>
      <c r="G1" s="44" t="s">
        <v>2</v>
      </c>
      <c r="H1" s="44"/>
      <c r="I1" s="44"/>
      <c r="J1" s="44"/>
      <c r="K1" s="39">
        <v>2023</v>
      </c>
      <c r="L1" s="39"/>
      <c r="M1" s="39"/>
      <c r="N1" s="39"/>
      <c r="O1" s="39">
        <v>2024</v>
      </c>
      <c r="P1" s="39"/>
      <c r="Q1" s="39"/>
      <c r="R1" s="49"/>
      <c r="S1" s="49"/>
    </row>
    <row r="2" spans="1:23" ht="36" x14ac:dyDescent="0.25">
      <c r="A2" s="41"/>
      <c r="B2" s="43"/>
      <c r="C2" s="30" t="s">
        <v>3</v>
      </c>
      <c r="D2" s="30" t="s">
        <v>4</v>
      </c>
      <c r="E2" s="30" t="s">
        <v>5</v>
      </c>
      <c r="F2" s="30" t="s">
        <v>6</v>
      </c>
      <c r="G2" s="26" t="s">
        <v>3</v>
      </c>
      <c r="H2" s="26" t="s">
        <v>4</v>
      </c>
      <c r="I2" s="26" t="s">
        <v>5</v>
      </c>
      <c r="J2" s="26" t="s">
        <v>6</v>
      </c>
      <c r="K2" s="26" t="s">
        <v>3</v>
      </c>
      <c r="L2" s="26" t="s">
        <v>39</v>
      </c>
      <c r="M2" s="26" t="s">
        <v>5</v>
      </c>
      <c r="N2" s="26" t="s">
        <v>6</v>
      </c>
      <c r="O2" s="26" t="s">
        <v>39</v>
      </c>
      <c r="P2" s="26" t="s">
        <v>5</v>
      </c>
      <c r="Q2" s="26" t="s">
        <v>6</v>
      </c>
      <c r="R2" s="27" t="s">
        <v>3</v>
      </c>
      <c r="S2" s="27" t="s">
        <v>43</v>
      </c>
      <c r="T2" s="27" t="s">
        <v>32</v>
      </c>
    </row>
    <row r="3" spans="1:23" x14ac:dyDescent="0.3">
      <c r="A3" s="17" t="s">
        <v>12</v>
      </c>
      <c r="B3" s="12" t="s">
        <v>15</v>
      </c>
      <c r="C3" s="9">
        <v>0.7</v>
      </c>
      <c r="D3" s="9">
        <v>0.75</v>
      </c>
      <c r="E3" s="9">
        <v>0.75</v>
      </c>
      <c r="F3" s="3">
        <v>0.75</v>
      </c>
      <c r="G3" s="4">
        <v>0.68</v>
      </c>
      <c r="H3" s="4">
        <v>0.69</v>
      </c>
      <c r="I3" s="5">
        <v>0.76</v>
      </c>
      <c r="J3" s="25">
        <v>0.72</v>
      </c>
      <c r="L3" s="25">
        <v>0.72</v>
      </c>
      <c r="M3" s="25">
        <v>0.68</v>
      </c>
      <c r="N3" s="25">
        <v>0.61</v>
      </c>
      <c r="O3" s="25">
        <v>0.72</v>
      </c>
      <c r="P3" s="25">
        <v>0.69</v>
      </c>
      <c r="Q3" s="25">
        <v>0.7</v>
      </c>
      <c r="S3" s="25">
        <v>0.55000000000000004</v>
      </c>
      <c r="T3" s="14">
        <f>S3-O3</f>
        <v>-0.16999999999999993</v>
      </c>
      <c r="W3">
        <v>70</v>
      </c>
    </row>
    <row r="4" spans="1:23" x14ac:dyDescent="0.3">
      <c r="A4" s="17" t="s">
        <v>20</v>
      </c>
      <c r="B4" s="12" t="s">
        <v>15</v>
      </c>
      <c r="C4" s="9">
        <v>0.81</v>
      </c>
      <c r="D4" s="9">
        <v>0.81</v>
      </c>
      <c r="E4" s="9">
        <v>0.83</v>
      </c>
      <c r="F4" s="3">
        <v>0.83</v>
      </c>
      <c r="G4" s="4">
        <v>0.77</v>
      </c>
      <c r="H4" s="4">
        <v>0.79</v>
      </c>
      <c r="I4" s="7">
        <v>0.87</v>
      </c>
      <c r="J4" s="25">
        <v>0.86</v>
      </c>
      <c r="L4" s="25">
        <v>0.82</v>
      </c>
      <c r="M4" s="25">
        <v>0.77</v>
      </c>
      <c r="N4" s="25">
        <v>0.73</v>
      </c>
      <c r="O4" s="25">
        <v>0.77</v>
      </c>
      <c r="P4" s="25">
        <v>0.75</v>
      </c>
      <c r="Q4" s="25">
        <v>0.72</v>
      </c>
      <c r="S4" s="25">
        <v>0.7</v>
      </c>
      <c r="T4" s="14">
        <f t="shared" ref="T4:T16" si="0">S4-O4</f>
        <v>-7.0000000000000062E-2</v>
      </c>
      <c r="W4">
        <v>72</v>
      </c>
    </row>
    <row r="5" spans="1:23" ht="16.5" customHeight="1" x14ac:dyDescent="0.3">
      <c r="A5" s="17" t="s">
        <v>18</v>
      </c>
      <c r="B5" s="12" t="s">
        <v>15</v>
      </c>
      <c r="C5" s="9">
        <v>0.69</v>
      </c>
      <c r="D5" s="9">
        <v>0.74</v>
      </c>
      <c r="E5" s="9">
        <v>0.79</v>
      </c>
      <c r="F5" s="9">
        <v>0.8</v>
      </c>
      <c r="G5" s="11">
        <v>0.77</v>
      </c>
      <c r="H5" s="4">
        <v>0.69</v>
      </c>
      <c r="I5" s="7">
        <v>0.75</v>
      </c>
      <c r="J5" s="25">
        <v>0.75</v>
      </c>
      <c r="L5" s="25">
        <v>0.74</v>
      </c>
      <c r="M5" s="25">
        <v>0.71</v>
      </c>
      <c r="N5" s="25">
        <v>0.65</v>
      </c>
      <c r="O5" s="25">
        <v>0.71</v>
      </c>
      <c r="P5" s="25">
        <v>0.68</v>
      </c>
      <c r="Q5" s="25">
        <v>0.67</v>
      </c>
      <c r="S5" s="25">
        <v>0.59</v>
      </c>
      <c r="T5" s="14">
        <f t="shared" si="0"/>
        <v>-0.12</v>
      </c>
      <c r="W5">
        <v>67</v>
      </c>
    </row>
    <row r="6" spans="1:23" ht="16.5" customHeight="1" x14ac:dyDescent="0.3">
      <c r="A6" s="17" t="s">
        <v>27</v>
      </c>
      <c r="B6" s="12" t="s">
        <v>15</v>
      </c>
      <c r="C6" s="3">
        <v>0.68</v>
      </c>
      <c r="D6" s="3">
        <v>0.8</v>
      </c>
      <c r="E6" s="3">
        <v>0.84</v>
      </c>
      <c r="F6" s="3">
        <v>0.77</v>
      </c>
      <c r="G6" s="4">
        <v>0.73</v>
      </c>
      <c r="H6" s="4">
        <v>0.72</v>
      </c>
      <c r="I6" s="7">
        <v>0.74</v>
      </c>
      <c r="J6" s="25">
        <v>0.77</v>
      </c>
      <c r="L6" s="25">
        <v>0.71</v>
      </c>
      <c r="M6" s="25">
        <v>0.63</v>
      </c>
      <c r="N6" s="25">
        <v>0.68</v>
      </c>
      <c r="O6" s="25">
        <v>0.72</v>
      </c>
      <c r="P6" s="25">
        <v>0.74</v>
      </c>
      <c r="Q6" s="25">
        <v>0.73</v>
      </c>
      <c r="S6" s="25">
        <v>0.57999999999999996</v>
      </c>
      <c r="T6" s="14">
        <f t="shared" si="0"/>
        <v>-0.14000000000000001</v>
      </c>
      <c r="W6">
        <v>73</v>
      </c>
    </row>
    <row r="7" spans="1:23" x14ac:dyDescent="0.3">
      <c r="A7" s="17" t="s">
        <v>31</v>
      </c>
      <c r="B7" s="12" t="s">
        <v>15</v>
      </c>
      <c r="C7" s="9">
        <v>0.82</v>
      </c>
      <c r="D7" s="3">
        <v>0.87</v>
      </c>
      <c r="E7" s="9">
        <v>0.86</v>
      </c>
      <c r="F7" s="3">
        <v>0.86</v>
      </c>
      <c r="G7" s="11">
        <v>0.83</v>
      </c>
      <c r="H7" s="4">
        <v>0.81</v>
      </c>
      <c r="I7" s="29">
        <v>0.86</v>
      </c>
      <c r="J7" s="25">
        <v>0.84</v>
      </c>
      <c r="L7" s="25">
        <v>0.79</v>
      </c>
      <c r="M7" s="25">
        <v>0.76</v>
      </c>
      <c r="N7" s="25">
        <v>0.81</v>
      </c>
      <c r="O7" s="25">
        <v>0.83</v>
      </c>
      <c r="P7" s="25">
        <v>0.78</v>
      </c>
      <c r="Q7" s="25">
        <v>0.75</v>
      </c>
      <c r="S7" s="25">
        <v>0.72</v>
      </c>
      <c r="T7" s="14">
        <f t="shared" si="0"/>
        <v>-0.10999999999999999</v>
      </c>
      <c r="W7">
        <v>75</v>
      </c>
    </row>
    <row r="8" spans="1:23" x14ac:dyDescent="0.3">
      <c r="A8" s="17" t="s">
        <v>26</v>
      </c>
      <c r="B8" s="12" t="s">
        <v>15</v>
      </c>
      <c r="C8" s="3">
        <v>0.85</v>
      </c>
      <c r="D8" s="3">
        <v>0.88</v>
      </c>
      <c r="E8" s="3">
        <v>0.93</v>
      </c>
      <c r="F8" s="3">
        <v>0.89</v>
      </c>
      <c r="G8" s="4">
        <v>0.86</v>
      </c>
      <c r="H8" s="4">
        <v>0.89</v>
      </c>
      <c r="I8" s="7">
        <v>0.87</v>
      </c>
      <c r="J8" s="25">
        <v>0.86</v>
      </c>
      <c r="L8" s="25">
        <v>0.84</v>
      </c>
      <c r="M8" s="25">
        <v>0.84</v>
      </c>
      <c r="N8" s="25">
        <v>0.8</v>
      </c>
      <c r="O8" s="25">
        <v>0.83</v>
      </c>
      <c r="P8" s="25">
        <v>0.8</v>
      </c>
      <c r="Q8" s="25">
        <v>0.76</v>
      </c>
      <c r="S8" s="25">
        <v>0.69</v>
      </c>
      <c r="T8" s="14">
        <f t="shared" si="0"/>
        <v>-0.14000000000000001</v>
      </c>
      <c r="W8">
        <v>76</v>
      </c>
    </row>
    <row r="9" spans="1:23" ht="18.75" customHeight="1" x14ac:dyDescent="0.3">
      <c r="A9" s="17" t="s">
        <v>21</v>
      </c>
      <c r="B9" s="12" t="s">
        <v>15</v>
      </c>
      <c r="C9" s="9">
        <v>0.67</v>
      </c>
      <c r="D9" s="9">
        <v>0.78</v>
      </c>
      <c r="E9" s="3">
        <v>0.79</v>
      </c>
      <c r="F9" s="3">
        <v>0.73</v>
      </c>
      <c r="G9" s="4">
        <v>0.7</v>
      </c>
      <c r="H9" s="4">
        <v>0.71</v>
      </c>
      <c r="I9" s="5">
        <v>0.68</v>
      </c>
      <c r="J9" s="25">
        <v>0.75</v>
      </c>
      <c r="L9" s="25">
        <v>0.69</v>
      </c>
      <c r="M9" s="25">
        <v>0.7</v>
      </c>
      <c r="N9" s="25">
        <v>0.63</v>
      </c>
      <c r="O9" s="25">
        <v>0.7</v>
      </c>
      <c r="P9" s="25">
        <v>0.63</v>
      </c>
      <c r="Q9" s="25">
        <v>0.68</v>
      </c>
      <c r="S9" s="25">
        <v>0.55000000000000004</v>
      </c>
      <c r="T9" s="14">
        <f t="shared" si="0"/>
        <v>-0.14999999999999991</v>
      </c>
      <c r="W9">
        <v>68</v>
      </c>
    </row>
    <row r="10" spans="1:23" x14ac:dyDescent="0.3">
      <c r="A10" s="17" t="s">
        <v>16</v>
      </c>
      <c r="B10" s="12" t="s">
        <v>15</v>
      </c>
      <c r="C10" s="9">
        <v>0.69</v>
      </c>
      <c r="D10" s="9">
        <v>0.73</v>
      </c>
      <c r="E10" s="9">
        <v>0.77</v>
      </c>
      <c r="F10" s="3">
        <v>0.76</v>
      </c>
      <c r="G10" s="4">
        <v>0.73</v>
      </c>
      <c r="H10" s="11">
        <v>0.7</v>
      </c>
      <c r="I10" s="7">
        <v>0.74</v>
      </c>
      <c r="J10" s="25">
        <v>0.71</v>
      </c>
      <c r="L10" s="25">
        <v>0.69</v>
      </c>
      <c r="M10" s="25">
        <v>0.64</v>
      </c>
      <c r="N10" s="25">
        <v>0.62</v>
      </c>
      <c r="O10" s="25">
        <v>0.69</v>
      </c>
      <c r="P10" s="25">
        <v>0.62</v>
      </c>
      <c r="Q10" s="25">
        <v>0.64</v>
      </c>
      <c r="S10" s="25">
        <v>0.56000000000000005</v>
      </c>
      <c r="T10" s="14">
        <f t="shared" si="0"/>
        <v>-0.12999999999999989</v>
      </c>
      <c r="W10">
        <v>64</v>
      </c>
    </row>
    <row r="11" spans="1:23" x14ac:dyDescent="0.3">
      <c r="A11" s="17" t="s">
        <v>17</v>
      </c>
      <c r="B11" s="12" t="s">
        <v>15</v>
      </c>
      <c r="C11" s="9">
        <v>0.81</v>
      </c>
      <c r="D11" s="9">
        <v>0.78</v>
      </c>
      <c r="E11" s="3">
        <v>0.76</v>
      </c>
      <c r="F11" s="3">
        <v>0.8</v>
      </c>
      <c r="G11" s="4">
        <v>0.79</v>
      </c>
      <c r="H11" s="4">
        <v>0.73</v>
      </c>
      <c r="I11" s="7">
        <v>0.77</v>
      </c>
      <c r="J11" s="25">
        <v>0.78</v>
      </c>
      <c r="L11" s="25">
        <v>0.78</v>
      </c>
      <c r="M11" s="25">
        <v>0.75</v>
      </c>
      <c r="N11" s="25">
        <v>0.72</v>
      </c>
      <c r="O11" s="25">
        <v>0.77</v>
      </c>
      <c r="P11" s="25">
        <v>0.67</v>
      </c>
      <c r="Q11" s="25">
        <v>0.7</v>
      </c>
      <c r="S11" s="25">
        <v>0.64</v>
      </c>
      <c r="T11" s="14">
        <f t="shared" si="0"/>
        <v>-0.13</v>
      </c>
      <c r="W11">
        <v>70</v>
      </c>
    </row>
    <row r="12" spans="1:23" x14ac:dyDescent="0.3">
      <c r="A12" s="17" t="s">
        <v>28</v>
      </c>
      <c r="B12" s="12" t="s">
        <v>15</v>
      </c>
      <c r="C12" s="9">
        <v>0.71</v>
      </c>
      <c r="D12" s="9">
        <v>0.79</v>
      </c>
      <c r="E12" s="3">
        <v>0.77</v>
      </c>
      <c r="F12" s="3">
        <v>0.77</v>
      </c>
      <c r="G12" s="4">
        <v>0.73</v>
      </c>
      <c r="H12" s="4">
        <v>0.72</v>
      </c>
      <c r="I12" s="7">
        <v>0.74</v>
      </c>
      <c r="J12" s="25">
        <v>0.72</v>
      </c>
      <c r="L12" s="25">
        <v>0.73</v>
      </c>
      <c r="M12" s="25">
        <v>0.62</v>
      </c>
      <c r="N12" s="25">
        <v>0.69</v>
      </c>
      <c r="O12" s="25">
        <v>0.73</v>
      </c>
      <c r="P12" s="25">
        <v>0.72</v>
      </c>
      <c r="Q12" s="25">
        <v>0.7</v>
      </c>
      <c r="S12" s="25">
        <v>0.55000000000000004</v>
      </c>
      <c r="T12" s="14">
        <f t="shared" si="0"/>
        <v>-0.17999999999999994</v>
      </c>
      <c r="W12">
        <v>70</v>
      </c>
    </row>
    <row r="13" spans="1:23" x14ac:dyDescent="0.3">
      <c r="A13" s="17" t="s">
        <v>25</v>
      </c>
      <c r="B13" s="12" t="s">
        <v>15</v>
      </c>
      <c r="C13" s="9">
        <v>0.87</v>
      </c>
      <c r="D13" s="9">
        <v>0.83</v>
      </c>
      <c r="E13" s="9">
        <v>0.82</v>
      </c>
      <c r="F13" s="3">
        <v>0.84</v>
      </c>
      <c r="G13" s="4">
        <v>0.83</v>
      </c>
      <c r="H13" s="4">
        <v>0.79</v>
      </c>
      <c r="I13" s="7">
        <v>0.79</v>
      </c>
      <c r="J13" s="25">
        <v>0.79</v>
      </c>
      <c r="L13" s="25">
        <v>0.77</v>
      </c>
      <c r="M13" s="25">
        <v>0.75</v>
      </c>
      <c r="N13" s="25">
        <v>0.67</v>
      </c>
      <c r="O13" s="25">
        <v>0.77</v>
      </c>
      <c r="P13" s="25">
        <v>0.76</v>
      </c>
      <c r="Q13" s="25">
        <v>0.71</v>
      </c>
      <c r="S13" s="25">
        <v>0.62</v>
      </c>
      <c r="T13" s="14">
        <f t="shared" si="0"/>
        <v>-0.15000000000000002</v>
      </c>
      <c r="W13">
        <v>71</v>
      </c>
    </row>
    <row r="14" spans="1:23" x14ac:dyDescent="0.3">
      <c r="A14" s="17" t="s">
        <v>22</v>
      </c>
      <c r="B14" s="12" t="s">
        <v>15</v>
      </c>
      <c r="C14" s="3">
        <v>0.87</v>
      </c>
      <c r="D14" s="3">
        <v>0.82</v>
      </c>
      <c r="E14" s="3">
        <v>0.79</v>
      </c>
      <c r="F14" s="3">
        <v>0.77</v>
      </c>
      <c r="G14" s="4">
        <v>0.74</v>
      </c>
      <c r="H14" s="4">
        <v>0.75</v>
      </c>
      <c r="I14" s="7">
        <v>0.82</v>
      </c>
      <c r="J14" s="25">
        <v>0.76</v>
      </c>
      <c r="L14" s="25">
        <v>0.78</v>
      </c>
      <c r="M14" s="25">
        <v>0.77</v>
      </c>
      <c r="N14" s="25">
        <v>0.69</v>
      </c>
      <c r="O14" s="25">
        <v>0.79</v>
      </c>
      <c r="P14" s="25">
        <v>0.74</v>
      </c>
      <c r="Q14" s="25">
        <v>0.75</v>
      </c>
      <c r="S14" s="25">
        <v>0.74</v>
      </c>
      <c r="T14" s="14">
        <f t="shared" si="0"/>
        <v>-5.0000000000000044E-2</v>
      </c>
      <c r="W14">
        <v>75</v>
      </c>
    </row>
    <row r="15" spans="1:23" x14ac:dyDescent="0.3">
      <c r="A15" s="17" t="s">
        <v>24</v>
      </c>
      <c r="B15" s="12" t="s">
        <v>15</v>
      </c>
      <c r="C15" s="3">
        <v>0.63</v>
      </c>
      <c r="D15" s="3">
        <v>0.75</v>
      </c>
      <c r="E15" s="3">
        <v>0.74</v>
      </c>
      <c r="F15" s="3">
        <v>0.71</v>
      </c>
      <c r="G15" s="4">
        <v>0.63</v>
      </c>
      <c r="H15" s="11">
        <v>0.68</v>
      </c>
      <c r="I15" s="7">
        <v>0.65</v>
      </c>
      <c r="J15" s="25">
        <v>0.65</v>
      </c>
      <c r="L15" s="25">
        <v>0.68</v>
      </c>
      <c r="M15" s="25">
        <v>0.61</v>
      </c>
      <c r="N15" s="25">
        <v>0.54</v>
      </c>
      <c r="O15" s="25">
        <v>0.63</v>
      </c>
      <c r="P15" s="25">
        <v>0.65</v>
      </c>
      <c r="Q15" s="25">
        <v>0.66</v>
      </c>
      <c r="S15" s="25">
        <v>0.51</v>
      </c>
      <c r="T15" s="14">
        <f t="shared" si="0"/>
        <v>-0.12</v>
      </c>
      <c r="W15">
        <v>66</v>
      </c>
    </row>
    <row r="16" spans="1:23" x14ac:dyDescent="0.3">
      <c r="A16" s="17" t="s">
        <v>30</v>
      </c>
      <c r="B16" s="12" t="s">
        <v>15</v>
      </c>
      <c r="C16" s="9">
        <v>0.81</v>
      </c>
      <c r="D16" s="9">
        <v>0.83</v>
      </c>
      <c r="E16" s="3">
        <v>0.83</v>
      </c>
      <c r="F16" s="3">
        <v>0.8</v>
      </c>
      <c r="G16" s="4">
        <v>0.76</v>
      </c>
      <c r="H16" s="4">
        <v>0.82</v>
      </c>
      <c r="I16" s="7">
        <v>0.82</v>
      </c>
      <c r="J16" s="25">
        <v>0.85</v>
      </c>
      <c r="L16" s="25">
        <v>0.82</v>
      </c>
      <c r="M16" s="25">
        <v>0.77</v>
      </c>
      <c r="N16" s="25">
        <v>0.74</v>
      </c>
      <c r="O16" s="25">
        <v>0.8</v>
      </c>
      <c r="P16" s="25">
        <v>0.75</v>
      </c>
      <c r="Q16" s="25">
        <v>0.77</v>
      </c>
      <c r="S16" s="25">
        <v>0.67</v>
      </c>
      <c r="T16" s="14">
        <f t="shared" si="0"/>
        <v>-0.13</v>
      </c>
      <c r="W16">
        <v>77</v>
      </c>
    </row>
    <row r="18" spans="15:20" x14ac:dyDescent="0.3">
      <c r="O18" s="25">
        <v>0.74</v>
      </c>
      <c r="P18"/>
      <c r="Q18"/>
      <c r="R18"/>
      <c r="S18" s="25">
        <v>0.61</v>
      </c>
      <c r="T18" s="14">
        <f>+S18-O18</f>
        <v>-0.13</v>
      </c>
    </row>
    <row r="19" spans="15:20" x14ac:dyDescent="0.3">
      <c r="P19"/>
      <c r="Q19"/>
      <c r="R19"/>
      <c r="S19"/>
      <c r="T19" s="14"/>
    </row>
    <row r="20" spans="15:20" x14ac:dyDescent="0.3">
      <c r="P20"/>
      <c r="Q20"/>
      <c r="R20"/>
      <c r="S20"/>
      <c r="T20" s="14"/>
    </row>
    <row r="21" spans="15:20" x14ac:dyDescent="0.3">
      <c r="P21"/>
      <c r="Q21"/>
      <c r="R21"/>
      <c r="S21"/>
      <c r="T21" s="14"/>
    </row>
    <row r="22" spans="15:20" x14ac:dyDescent="0.3">
      <c r="P22"/>
      <c r="Q22"/>
      <c r="R22"/>
      <c r="S22"/>
      <c r="T22" s="14"/>
    </row>
    <row r="23" spans="15:20" x14ac:dyDescent="0.3">
      <c r="P23"/>
      <c r="Q23"/>
      <c r="R23"/>
      <c r="S23"/>
      <c r="T23" s="14"/>
    </row>
    <row r="24" spans="15:20" x14ac:dyDescent="0.3">
      <c r="P24"/>
      <c r="Q24"/>
      <c r="R24"/>
      <c r="S24"/>
      <c r="T24" s="14"/>
    </row>
    <row r="25" spans="15:20" x14ac:dyDescent="0.3">
      <c r="P25"/>
      <c r="Q25"/>
      <c r="R25"/>
      <c r="S25"/>
      <c r="T25" s="14"/>
    </row>
    <row r="26" spans="15:20" x14ac:dyDescent="0.3">
      <c r="P26"/>
      <c r="Q26"/>
      <c r="R26"/>
      <c r="S26"/>
      <c r="T26" s="14"/>
    </row>
    <row r="27" spans="15:20" x14ac:dyDescent="0.3">
      <c r="P27"/>
      <c r="Q27"/>
      <c r="R27"/>
      <c r="S27"/>
      <c r="T27" s="14"/>
    </row>
    <row r="28" spans="15:20" x14ac:dyDescent="0.3">
      <c r="P28"/>
      <c r="Q28"/>
      <c r="R28"/>
      <c r="S28"/>
      <c r="T28" s="14"/>
    </row>
    <row r="29" spans="15:20" x14ac:dyDescent="0.3">
      <c r="P29"/>
      <c r="Q29"/>
      <c r="R29"/>
      <c r="S29"/>
      <c r="T29" s="14"/>
    </row>
    <row r="30" spans="15:20" x14ac:dyDescent="0.3">
      <c r="P30"/>
      <c r="Q30"/>
      <c r="R30"/>
      <c r="S30"/>
      <c r="T30" s="14"/>
    </row>
    <row r="31" spans="15:20" x14ac:dyDescent="0.3">
      <c r="P31"/>
      <c r="Q31"/>
      <c r="R31"/>
      <c r="S31"/>
      <c r="T31" s="14"/>
    </row>
    <row r="327" spans="1:1" x14ac:dyDescent="0.3">
      <c r="A327" s="10"/>
    </row>
    <row r="328" spans="1:1" x14ac:dyDescent="0.3">
      <c r="A328" s="10"/>
    </row>
  </sheetData>
  <autoFilter ref="A2:T16" xr:uid="{95A2E166-84E0-419E-9FBE-ACE8AAD704AC}">
    <sortState xmlns:xlrd2="http://schemas.microsoft.com/office/spreadsheetml/2017/richdata2" ref="A4:T16">
      <sortCondition ref="A2:A16"/>
    </sortState>
  </autoFilter>
  <mergeCells count="6">
    <mergeCell ref="O1:Q1"/>
    <mergeCell ref="A1:A2"/>
    <mergeCell ref="B1:B2"/>
    <mergeCell ref="G1:J1"/>
    <mergeCell ref="C1:F1"/>
    <mergeCell ref="K1:N1"/>
  </mergeCells>
  <conditionalFormatting sqref="T18:T31 T3:T16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AFC1-E43B-4E35-A513-452C1670BA72}">
  <dimension ref="A1:R16"/>
  <sheetViews>
    <sheetView workbookViewId="0">
      <selection activeCell="R3" sqref="R3"/>
    </sheetView>
  </sheetViews>
  <sheetFormatPr defaultRowHeight="15" x14ac:dyDescent="0.25"/>
  <cols>
    <col min="1" max="1" width="25.140625" customWidth="1"/>
    <col min="2" max="2" width="23" customWidth="1"/>
    <col min="3" max="3" width="15.140625" customWidth="1"/>
    <col min="15" max="17" width="10.140625" customWidth="1"/>
  </cols>
  <sheetData>
    <row r="1" spans="1:18" x14ac:dyDescent="0.25">
      <c r="A1" t="s">
        <v>41</v>
      </c>
      <c r="B1" t="s">
        <v>13</v>
      </c>
      <c r="C1" s="38" t="s">
        <v>1</v>
      </c>
      <c r="D1" s="38"/>
      <c r="E1" s="38"/>
      <c r="F1" s="38"/>
      <c r="G1" s="38" t="s">
        <v>2</v>
      </c>
      <c r="H1" s="38"/>
      <c r="I1" s="38"/>
      <c r="J1" s="38"/>
      <c r="K1" s="38">
        <v>2023</v>
      </c>
      <c r="L1" s="38"/>
      <c r="M1" s="38"/>
      <c r="N1" s="38"/>
      <c r="O1" s="38">
        <v>2024</v>
      </c>
      <c r="P1" s="38"/>
      <c r="Q1" s="38"/>
    </row>
    <row r="2" spans="1:18" x14ac:dyDescent="0.25"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4</v>
      </c>
      <c r="P2" t="s">
        <v>5</v>
      </c>
      <c r="Q2" t="s">
        <v>6</v>
      </c>
      <c r="R2" t="s">
        <v>32</v>
      </c>
    </row>
    <row r="3" spans="1:18" x14ac:dyDescent="0.25">
      <c r="A3" t="s">
        <v>12</v>
      </c>
      <c r="B3" t="s">
        <v>14</v>
      </c>
      <c r="C3" s="28">
        <v>0.43</v>
      </c>
      <c r="D3" s="28">
        <v>0.52</v>
      </c>
      <c r="E3" s="28">
        <v>0.51</v>
      </c>
      <c r="F3" s="28">
        <v>0.59</v>
      </c>
      <c r="G3" s="28">
        <v>0.46</v>
      </c>
      <c r="H3" s="28">
        <v>0.5</v>
      </c>
      <c r="I3" s="28">
        <v>0.59</v>
      </c>
      <c r="J3" s="28">
        <v>0.56999999999999995</v>
      </c>
      <c r="K3" s="28">
        <v>0.52</v>
      </c>
      <c r="L3" s="28">
        <v>0.57999999999999996</v>
      </c>
      <c r="M3" s="28">
        <v>0.57999999999999996</v>
      </c>
      <c r="N3" s="28">
        <v>0.59</v>
      </c>
      <c r="O3" s="28">
        <v>0.59</v>
      </c>
      <c r="P3" s="28">
        <v>0.56999999999999995</v>
      </c>
      <c r="Q3" s="28">
        <v>0.54</v>
      </c>
      <c r="R3" s="14">
        <f>+Q3-N3</f>
        <v>-4.9999999999999933E-2</v>
      </c>
    </row>
    <row r="4" spans="1:18" x14ac:dyDescent="0.25">
      <c r="A4" t="s">
        <v>20</v>
      </c>
      <c r="B4" t="s">
        <v>14</v>
      </c>
      <c r="C4" s="28">
        <v>0.53</v>
      </c>
      <c r="D4" s="28">
        <v>0.54</v>
      </c>
      <c r="E4" s="28">
        <v>0.56999999999999995</v>
      </c>
      <c r="F4" s="28">
        <v>0.61</v>
      </c>
      <c r="G4" s="28">
        <v>0.53</v>
      </c>
      <c r="H4" s="28">
        <v>0.55000000000000004</v>
      </c>
      <c r="I4" s="28">
        <v>0.65</v>
      </c>
      <c r="J4" s="28">
        <v>0.62</v>
      </c>
      <c r="K4" s="28">
        <v>0.56000000000000005</v>
      </c>
      <c r="L4" s="28">
        <v>0.59</v>
      </c>
      <c r="M4" s="28">
        <v>0.59</v>
      </c>
      <c r="N4" s="28">
        <v>0.56000000000000005</v>
      </c>
      <c r="O4" s="28">
        <v>0.55000000000000004</v>
      </c>
      <c r="P4" s="28">
        <v>0.56000000000000005</v>
      </c>
      <c r="Q4" s="28">
        <v>0.55000000000000004</v>
      </c>
      <c r="R4" s="14">
        <f t="shared" ref="R4:R16" si="0">+Q4-N4</f>
        <v>-1.0000000000000009E-2</v>
      </c>
    </row>
    <row r="5" spans="1:18" x14ac:dyDescent="0.25">
      <c r="A5" t="s">
        <v>18</v>
      </c>
      <c r="B5" t="s">
        <v>14</v>
      </c>
      <c r="C5" s="28">
        <v>0.42</v>
      </c>
      <c r="D5" s="28">
        <v>0.42</v>
      </c>
      <c r="E5" s="28">
        <v>0.47</v>
      </c>
      <c r="F5" s="28">
        <v>0.49</v>
      </c>
      <c r="G5" s="28">
        <v>0.5</v>
      </c>
      <c r="H5" s="28">
        <v>0.48</v>
      </c>
      <c r="I5" s="28">
        <v>0.54</v>
      </c>
      <c r="J5" s="28">
        <v>0.49</v>
      </c>
      <c r="K5" s="28">
        <v>0.48</v>
      </c>
      <c r="L5" s="28">
        <v>0.5</v>
      </c>
      <c r="M5" s="28">
        <v>0.52</v>
      </c>
      <c r="N5" s="28">
        <v>0.48</v>
      </c>
      <c r="O5" s="28">
        <v>0.5</v>
      </c>
      <c r="P5" s="28">
        <v>0.47</v>
      </c>
      <c r="Q5" s="28">
        <v>0.49</v>
      </c>
      <c r="R5" s="14">
        <f t="shared" si="0"/>
        <v>1.0000000000000009E-2</v>
      </c>
    </row>
    <row r="6" spans="1:18" x14ac:dyDescent="0.25">
      <c r="A6" t="s">
        <v>27</v>
      </c>
      <c r="B6" t="s">
        <v>14</v>
      </c>
      <c r="C6" s="28">
        <v>0.47</v>
      </c>
      <c r="D6" s="28">
        <v>0.42</v>
      </c>
      <c r="E6" s="28">
        <v>0.47</v>
      </c>
      <c r="F6" s="28">
        <v>0.51</v>
      </c>
      <c r="G6" s="28">
        <v>0.47</v>
      </c>
      <c r="H6" s="28">
        <v>0.48</v>
      </c>
      <c r="I6" s="28">
        <v>0.48</v>
      </c>
      <c r="J6" s="28">
        <v>0.51</v>
      </c>
      <c r="K6" s="28">
        <v>0.5</v>
      </c>
      <c r="L6" s="28">
        <v>0.48</v>
      </c>
      <c r="M6" s="28">
        <v>0.44</v>
      </c>
      <c r="N6" s="28">
        <v>0.47</v>
      </c>
      <c r="O6" s="28">
        <v>0.46</v>
      </c>
      <c r="P6" s="28">
        <v>0.45</v>
      </c>
      <c r="Q6" s="28">
        <v>0.48</v>
      </c>
      <c r="R6" s="14">
        <f t="shared" si="0"/>
        <v>1.0000000000000009E-2</v>
      </c>
    </row>
    <row r="7" spans="1:18" x14ac:dyDescent="0.25">
      <c r="A7" t="s">
        <v>31</v>
      </c>
      <c r="B7" t="s">
        <v>14</v>
      </c>
      <c r="C7" s="28">
        <v>0.36</v>
      </c>
      <c r="D7" s="28">
        <v>0.37</v>
      </c>
      <c r="E7" s="28">
        <v>0.44</v>
      </c>
      <c r="F7" s="28">
        <v>0.47</v>
      </c>
      <c r="G7" s="28">
        <v>0.39</v>
      </c>
      <c r="H7" s="28">
        <v>0.44</v>
      </c>
      <c r="I7" s="28">
        <v>0.44</v>
      </c>
      <c r="J7" s="28">
        <v>0.44</v>
      </c>
      <c r="K7" s="28">
        <v>0.46</v>
      </c>
      <c r="L7" s="28">
        <v>0.46</v>
      </c>
      <c r="M7" s="28">
        <v>0.46</v>
      </c>
      <c r="N7" s="28">
        <v>0.41</v>
      </c>
      <c r="O7" s="28">
        <v>0.44</v>
      </c>
      <c r="P7" s="28">
        <v>0.44</v>
      </c>
      <c r="Q7" s="28">
        <v>0.41</v>
      </c>
      <c r="R7" s="14">
        <f t="shared" si="0"/>
        <v>0</v>
      </c>
    </row>
    <row r="8" spans="1:18" x14ac:dyDescent="0.25">
      <c r="A8" t="s">
        <v>26</v>
      </c>
      <c r="B8" t="s">
        <v>14</v>
      </c>
      <c r="C8" s="28">
        <v>0.51</v>
      </c>
      <c r="D8" s="28">
        <v>0.6</v>
      </c>
      <c r="E8" s="28">
        <v>0.6</v>
      </c>
      <c r="F8" s="28">
        <v>0.68</v>
      </c>
      <c r="G8" s="28">
        <v>0.56000000000000005</v>
      </c>
      <c r="H8" s="28">
        <v>0.56000000000000005</v>
      </c>
      <c r="I8" s="28">
        <v>0.64</v>
      </c>
      <c r="J8" s="28">
        <v>0.64</v>
      </c>
      <c r="K8" s="28">
        <v>0.59</v>
      </c>
      <c r="L8" s="28">
        <v>0.64</v>
      </c>
      <c r="M8" s="28">
        <v>0.56000000000000005</v>
      </c>
      <c r="N8" s="28">
        <v>0.56999999999999995</v>
      </c>
      <c r="O8" s="28">
        <v>0.59</v>
      </c>
      <c r="P8" s="28">
        <v>0.56000000000000005</v>
      </c>
      <c r="Q8" s="28">
        <v>0.57999999999999996</v>
      </c>
      <c r="R8" s="14">
        <f t="shared" si="0"/>
        <v>1.0000000000000009E-2</v>
      </c>
    </row>
    <row r="9" spans="1:18" x14ac:dyDescent="0.25">
      <c r="A9" t="s">
        <v>21</v>
      </c>
      <c r="B9" t="s">
        <v>14</v>
      </c>
      <c r="C9" s="28">
        <v>0.47</v>
      </c>
      <c r="D9" s="28">
        <v>0.44</v>
      </c>
      <c r="E9" s="28">
        <v>0.52</v>
      </c>
      <c r="F9" s="28">
        <v>0.51</v>
      </c>
      <c r="G9" s="28">
        <v>0.4</v>
      </c>
      <c r="H9" s="28">
        <v>0.47</v>
      </c>
      <c r="I9" s="28">
        <v>0.55000000000000004</v>
      </c>
      <c r="J9" s="28">
        <v>0.54</v>
      </c>
      <c r="K9" s="28">
        <v>0.52</v>
      </c>
      <c r="L9" s="28">
        <v>0.6</v>
      </c>
      <c r="M9" s="28">
        <v>0.5</v>
      </c>
      <c r="N9" s="28">
        <v>0.53</v>
      </c>
      <c r="O9" s="28">
        <v>0.54</v>
      </c>
      <c r="P9" s="28">
        <v>0.5</v>
      </c>
      <c r="Q9" s="28">
        <v>0.5</v>
      </c>
      <c r="R9" s="14">
        <f t="shared" si="0"/>
        <v>-3.0000000000000027E-2</v>
      </c>
    </row>
    <row r="10" spans="1:18" x14ac:dyDescent="0.25">
      <c r="A10" t="s">
        <v>16</v>
      </c>
      <c r="B10" t="s">
        <v>14</v>
      </c>
      <c r="C10" s="28">
        <v>0.46</v>
      </c>
      <c r="D10" s="28">
        <v>0.45</v>
      </c>
      <c r="E10" s="28">
        <v>0.51</v>
      </c>
      <c r="F10" s="28">
        <v>0.51</v>
      </c>
      <c r="G10" s="28">
        <v>0.52</v>
      </c>
      <c r="H10" s="28">
        <v>0.46</v>
      </c>
      <c r="I10" s="28">
        <v>0.46</v>
      </c>
      <c r="J10" s="28">
        <v>0.51</v>
      </c>
      <c r="K10" s="28">
        <v>0.5</v>
      </c>
      <c r="L10" s="28">
        <v>0.51</v>
      </c>
      <c r="M10" s="28">
        <v>0.52</v>
      </c>
      <c r="N10" s="28">
        <v>0.45</v>
      </c>
      <c r="O10" s="28">
        <v>0.52</v>
      </c>
      <c r="P10" s="28">
        <v>0.5</v>
      </c>
      <c r="Q10" s="28">
        <v>0.46</v>
      </c>
      <c r="R10" s="14">
        <f t="shared" si="0"/>
        <v>1.0000000000000009E-2</v>
      </c>
    </row>
    <row r="11" spans="1:18" x14ac:dyDescent="0.25">
      <c r="A11" t="s">
        <v>17</v>
      </c>
      <c r="B11" t="s">
        <v>14</v>
      </c>
      <c r="C11" s="28">
        <v>0.4</v>
      </c>
      <c r="D11" s="28">
        <v>0.44</v>
      </c>
      <c r="E11" s="28">
        <v>0.52</v>
      </c>
      <c r="F11" s="28">
        <v>0.53</v>
      </c>
      <c r="G11" s="28">
        <v>0.53</v>
      </c>
      <c r="H11" s="28">
        <v>0.54</v>
      </c>
      <c r="I11" s="28">
        <v>0.56000000000000005</v>
      </c>
      <c r="J11" s="28">
        <v>0.53</v>
      </c>
      <c r="K11" s="28">
        <v>0.5</v>
      </c>
      <c r="L11" s="28">
        <v>0.59</v>
      </c>
      <c r="M11" s="28">
        <v>0.57999999999999996</v>
      </c>
      <c r="N11" s="28">
        <v>0.49</v>
      </c>
      <c r="O11" s="28">
        <v>0.56000000000000005</v>
      </c>
      <c r="P11" s="28">
        <v>0.55000000000000004</v>
      </c>
      <c r="Q11" s="28">
        <v>0.51</v>
      </c>
      <c r="R11" s="14">
        <f t="shared" si="0"/>
        <v>2.0000000000000018E-2</v>
      </c>
    </row>
    <row r="12" spans="1:18" x14ac:dyDescent="0.25">
      <c r="A12" t="s">
        <v>28</v>
      </c>
      <c r="B12" t="s">
        <v>14</v>
      </c>
      <c r="C12" s="28">
        <v>0.39</v>
      </c>
      <c r="D12" s="28">
        <v>0.39</v>
      </c>
      <c r="E12" s="28">
        <v>0.44</v>
      </c>
      <c r="F12" s="28">
        <v>0.46</v>
      </c>
      <c r="G12" s="28">
        <v>0.41</v>
      </c>
      <c r="H12" s="28">
        <v>0.39</v>
      </c>
      <c r="I12" s="28">
        <v>0.39</v>
      </c>
      <c r="J12" s="28">
        <v>0.42</v>
      </c>
      <c r="K12" s="28">
        <v>0.42</v>
      </c>
      <c r="L12" s="28">
        <v>0.48</v>
      </c>
      <c r="M12" s="28">
        <v>0.45</v>
      </c>
      <c r="N12" s="28">
        <v>0.42</v>
      </c>
      <c r="O12" s="28">
        <v>0.45</v>
      </c>
      <c r="P12" s="28">
        <v>0.45</v>
      </c>
      <c r="Q12" s="28">
        <v>0.42</v>
      </c>
      <c r="R12" s="14">
        <f t="shared" si="0"/>
        <v>0</v>
      </c>
    </row>
    <row r="13" spans="1:18" x14ac:dyDescent="0.25">
      <c r="A13" t="s">
        <v>25</v>
      </c>
      <c r="B13" t="s">
        <v>14</v>
      </c>
      <c r="C13" s="28">
        <v>0.56000000000000005</v>
      </c>
      <c r="D13" s="28">
        <v>0.55000000000000004</v>
      </c>
      <c r="E13" s="28">
        <v>0.57999999999999996</v>
      </c>
      <c r="F13" s="28">
        <v>0.62</v>
      </c>
      <c r="G13" s="28">
        <v>0.61</v>
      </c>
      <c r="H13" s="28">
        <v>0.57999999999999996</v>
      </c>
      <c r="I13" s="28">
        <v>0.56999999999999995</v>
      </c>
      <c r="J13" s="28">
        <v>0.59</v>
      </c>
      <c r="K13" s="28">
        <v>0.61</v>
      </c>
      <c r="L13" s="28">
        <v>0.57999999999999996</v>
      </c>
      <c r="M13" s="28">
        <v>0.56999999999999995</v>
      </c>
      <c r="N13" s="28">
        <v>0.56000000000000005</v>
      </c>
      <c r="O13" s="28">
        <v>0.57999999999999996</v>
      </c>
      <c r="P13" s="28">
        <v>0.56000000000000005</v>
      </c>
      <c r="Q13" s="28">
        <v>0.56999999999999995</v>
      </c>
      <c r="R13" s="14">
        <f t="shared" si="0"/>
        <v>9.9999999999998979E-3</v>
      </c>
    </row>
    <row r="14" spans="1:18" x14ac:dyDescent="0.25">
      <c r="A14" t="s">
        <v>22</v>
      </c>
      <c r="B14" t="s">
        <v>14</v>
      </c>
      <c r="C14" s="28">
        <v>0.69</v>
      </c>
      <c r="D14" s="28">
        <v>0.61</v>
      </c>
      <c r="E14" s="28">
        <v>0.63</v>
      </c>
      <c r="F14" s="28">
        <v>0.66</v>
      </c>
      <c r="G14" s="28">
        <v>0.62</v>
      </c>
      <c r="H14" s="28">
        <v>0.64</v>
      </c>
      <c r="I14" s="28">
        <v>0.67</v>
      </c>
      <c r="J14" s="28">
        <v>0.6</v>
      </c>
      <c r="K14" s="28">
        <v>0.61</v>
      </c>
      <c r="L14" s="28">
        <v>0.6</v>
      </c>
      <c r="M14" s="28">
        <v>0.67</v>
      </c>
      <c r="N14" s="28">
        <v>0.56999999999999995</v>
      </c>
      <c r="O14" s="28">
        <v>0.65</v>
      </c>
      <c r="P14" s="28">
        <v>0.64</v>
      </c>
      <c r="Q14" s="28">
        <v>0.63</v>
      </c>
      <c r="R14" s="14">
        <f t="shared" si="0"/>
        <v>6.0000000000000053E-2</v>
      </c>
    </row>
    <row r="15" spans="1:18" x14ac:dyDescent="0.25">
      <c r="A15" t="s">
        <v>24</v>
      </c>
      <c r="B15" t="s">
        <v>14</v>
      </c>
      <c r="C15" s="28">
        <v>0.56999999999999995</v>
      </c>
      <c r="D15" s="28">
        <v>0.48</v>
      </c>
      <c r="E15" s="28">
        <v>0.59</v>
      </c>
      <c r="F15" s="28">
        <v>0.61</v>
      </c>
      <c r="G15" s="28">
        <v>0.48</v>
      </c>
      <c r="H15" s="28">
        <v>0.52</v>
      </c>
      <c r="I15" s="28">
        <v>0.56000000000000005</v>
      </c>
      <c r="J15" s="28">
        <v>0.54</v>
      </c>
      <c r="K15" s="28">
        <v>0.53</v>
      </c>
      <c r="L15" s="28">
        <v>0.57999999999999996</v>
      </c>
      <c r="M15" s="28">
        <v>0.54</v>
      </c>
      <c r="N15" s="28">
        <v>0.56000000000000005</v>
      </c>
      <c r="O15" s="28">
        <v>0.6</v>
      </c>
      <c r="P15" s="28">
        <v>0.54</v>
      </c>
      <c r="Q15" s="28">
        <v>0.53</v>
      </c>
      <c r="R15" s="14">
        <f t="shared" si="0"/>
        <v>-3.0000000000000027E-2</v>
      </c>
    </row>
    <row r="16" spans="1:18" x14ac:dyDescent="0.25">
      <c r="A16" t="s">
        <v>30</v>
      </c>
      <c r="B16" t="s">
        <v>14</v>
      </c>
      <c r="C16" s="28">
        <v>0.4</v>
      </c>
      <c r="D16" s="28">
        <v>0.44</v>
      </c>
      <c r="E16" s="28">
        <v>0.52</v>
      </c>
      <c r="F16" s="28">
        <v>0.52</v>
      </c>
      <c r="G16" s="28">
        <v>0.42</v>
      </c>
      <c r="H16" s="28">
        <v>0.42</v>
      </c>
      <c r="I16" s="28">
        <v>0.5</v>
      </c>
      <c r="J16" s="28">
        <v>0.56000000000000005</v>
      </c>
      <c r="K16" s="28">
        <v>0.52</v>
      </c>
      <c r="L16" s="28">
        <v>0.54</v>
      </c>
      <c r="M16" s="28">
        <v>0.51</v>
      </c>
      <c r="N16" s="28">
        <v>0.41</v>
      </c>
      <c r="O16" s="28">
        <v>0.51</v>
      </c>
      <c r="P16" s="28">
        <v>0.47</v>
      </c>
      <c r="Q16" s="28">
        <v>0.47</v>
      </c>
      <c r="R16" s="14">
        <f t="shared" si="0"/>
        <v>0.06</v>
      </c>
    </row>
  </sheetData>
  <mergeCells count="4">
    <mergeCell ref="C1:F1"/>
    <mergeCell ref="G1:J1"/>
    <mergeCell ref="K1:N1"/>
    <mergeCell ref="O1:Q1"/>
  </mergeCells>
  <conditionalFormatting sqref="R3:R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9E99-524F-48AE-9B88-F1F4DE1C4B00}">
  <dimension ref="A1:F16"/>
  <sheetViews>
    <sheetView zoomScale="85" zoomScaleNormal="85" workbookViewId="0">
      <selection activeCell="F3" sqref="F3:F16"/>
    </sheetView>
  </sheetViews>
  <sheetFormatPr defaultRowHeight="15" x14ac:dyDescent="0.25"/>
  <cols>
    <col min="1" max="1" width="25" customWidth="1"/>
    <col min="2" max="3" width="18.28515625" customWidth="1"/>
    <col min="4" max="4" width="17.28515625" customWidth="1"/>
  </cols>
  <sheetData>
    <row r="1" spans="1:6" ht="27" customHeight="1" x14ac:dyDescent="0.25">
      <c r="A1" s="45" t="s">
        <v>33</v>
      </c>
      <c r="B1" s="46"/>
      <c r="C1" s="46"/>
      <c r="D1" s="47"/>
    </row>
    <row r="2" spans="1:6" ht="33" x14ac:dyDescent="0.25">
      <c r="A2" s="18"/>
      <c r="B2" s="19" t="s">
        <v>34</v>
      </c>
      <c r="C2" s="20" t="s">
        <v>35</v>
      </c>
      <c r="D2" s="13" t="s">
        <v>36</v>
      </c>
    </row>
    <row r="3" spans="1:6" ht="34.5" customHeight="1" x14ac:dyDescent="0.25">
      <c r="A3" s="21" t="s">
        <v>12</v>
      </c>
      <c r="B3" s="22">
        <v>0.04</v>
      </c>
      <c r="C3" s="23">
        <v>0.04</v>
      </c>
      <c r="D3" s="24">
        <v>7.0000000000000007E-2</v>
      </c>
      <c r="F3" s="14">
        <f>+D3-C3</f>
        <v>3.0000000000000006E-2</v>
      </c>
    </row>
    <row r="4" spans="1:6" ht="33" x14ac:dyDescent="0.25">
      <c r="A4" s="21" t="s">
        <v>16</v>
      </c>
      <c r="B4" s="22">
        <v>0.05</v>
      </c>
      <c r="C4" s="23">
        <v>0.05</v>
      </c>
      <c r="D4" s="24">
        <v>7.0000000000000007E-2</v>
      </c>
      <c r="F4" s="14">
        <f t="shared" ref="F4:F16" si="0">+D4-C4</f>
        <v>2.0000000000000004E-2</v>
      </c>
    </row>
    <row r="5" spans="1:6" ht="33" x14ac:dyDescent="0.25">
      <c r="A5" s="21" t="s">
        <v>17</v>
      </c>
      <c r="B5" s="22">
        <v>0.06</v>
      </c>
      <c r="C5" s="23">
        <v>0.03</v>
      </c>
      <c r="D5" s="24">
        <v>0.08</v>
      </c>
      <c r="F5" s="14">
        <f t="shared" si="0"/>
        <v>0.05</v>
      </c>
    </row>
    <row r="6" spans="1:6" ht="33" x14ac:dyDescent="0.25">
      <c r="A6" s="21" t="s">
        <v>18</v>
      </c>
      <c r="B6" s="22">
        <v>0.06</v>
      </c>
      <c r="C6" s="23">
        <v>0.05</v>
      </c>
      <c r="D6" s="24">
        <v>0.11</v>
      </c>
      <c r="F6" s="14">
        <f t="shared" si="0"/>
        <v>0.06</v>
      </c>
    </row>
    <row r="7" spans="1:6" ht="33" x14ac:dyDescent="0.25">
      <c r="A7" s="21" t="s">
        <v>20</v>
      </c>
      <c r="B7" s="22">
        <v>7.0000000000000007E-2</v>
      </c>
      <c r="C7" s="23">
        <v>0.03</v>
      </c>
      <c r="D7" s="24">
        <v>0.08</v>
      </c>
      <c r="F7" s="14">
        <f t="shared" si="0"/>
        <v>0.05</v>
      </c>
    </row>
    <row r="8" spans="1:6" ht="33" x14ac:dyDescent="0.25">
      <c r="A8" s="21" t="s">
        <v>21</v>
      </c>
      <c r="B8" s="22">
        <v>0.04</v>
      </c>
      <c r="C8" s="23">
        <v>0.04</v>
      </c>
      <c r="D8" s="24">
        <v>0.08</v>
      </c>
      <c r="F8" s="14">
        <f t="shared" si="0"/>
        <v>0.04</v>
      </c>
    </row>
    <row r="9" spans="1:6" ht="33" x14ac:dyDescent="0.25">
      <c r="A9" s="21" t="s">
        <v>22</v>
      </c>
      <c r="B9" s="22">
        <v>7.0000000000000007E-2</v>
      </c>
      <c r="C9" s="23">
        <v>0.08</v>
      </c>
      <c r="D9" s="24">
        <v>0.08</v>
      </c>
      <c r="F9" s="14">
        <f t="shared" si="0"/>
        <v>0</v>
      </c>
    </row>
    <row r="10" spans="1:6" ht="33" x14ac:dyDescent="0.25">
      <c r="A10" s="21" t="s">
        <v>24</v>
      </c>
      <c r="B10" s="22">
        <v>0.04</v>
      </c>
      <c r="C10" s="23">
        <v>0.05</v>
      </c>
      <c r="D10" s="24">
        <v>0.08</v>
      </c>
      <c r="F10" s="14">
        <f t="shared" si="0"/>
        <v>0.03</v>
      </c>
    </row>
    <row r="11" spans="1:6" ht="33" x14ac:dyDescent="0.25">
      <c r="A11" s="21" t="s">
        <v>25</v>
      </c>
      <c r="B11" s="22">
        <v>7.0000000000000007E-2</v>
      </c>
      <c r="C11" s="23">
        <v>0.04</v>
      </c>
      <c r="D11" s="24">
        <v>0.06</v>
      </c>
      <c r="F11" s="14">
        <f t="shared" si="0"/>
        <v>1.9999999999999997E-2</v>
      </c>
    </row>
    <row r="12" spans="1:6" ht="33" x14ac:dyDescent="0.25">
      <c r="A12" s="21" t="s">
        <v>26</v>
      </c>
      <c r="B12" s="22">
        <v>0.05</v>
      </c>
      <c r="C12" s="23">
        <v>0.04</v>
      </c>
      <c r="D12" s="24">
        <v>7.0000000000000007E-2</v>
      </c>
      <c r="F12" s="14">
        <f t="shared" si="0"/>
        <v>3.0000000000000006E-2</v>
      </c>
    </row>
    <row r="13" spans="1:6" ht="33" x14ac:dyDescent="0.25">
      <c r="A13" s="21" t="s">
        <v>27</v>
      </c>
      <c r="B13" s="22">
        <v>7.0000000000000007E-2</v>
      </c>
      <c r="C13" s="23">
        <v>0.03</v>
      </c>
      <c r="D13" s="24">
        <v>0.08</v>
      </c>
      <c r="F13" s="14">
        <f t="shared" si="0"/>
        <v>0.05</v>
      </c>
    </row>
    <row r="14" spans="1:6" ht="33" x14ac:dyDescent="0.25">
      <c r="A14" s="21" t="s">
        <v>28</v>
      </c>
      <c r="B14" s="22">
        <v>7.0000000000000007E-2</v>
      </c>
      <c r="C14" s="23">
        <v>0.05</v>
      </c>
      <c r="D14" s="24">
        <v>0.06</v>
      </c>
      <c r="F14" s="14">
        <f t="shared" si="0"/>
        <v>9.999999999999995E-3</v>
      </c>
    </row>
    <row r="15" spans="1:6" ht="33" x14ac:dyDescent="0.25">
      <c r="A15" s="21" t="s">
        <v>30</v>
      </c>
      <c r="B15" s="22">
        <v>0.06</v>
      </c>
      <c r="C15" s="23">
        <v>0.03</v>
      </c>
      <c r="D15" s="24">
        <v>0.05</v>
      </c>
      <c r="F15" s="14">
        <f t="shared" si="0"/>
        <v>2.0000000000000004E-2</v>
      </c>
    </row>
    <row r="16" spans="1:6" ht="33" x14ac:dyDescent="0.25">
      <c r="A16" s="21" t="s">
        <v>31</v>
      </c>
      <c r="B16" s="22">
        <v>0.05</v>
      </c>
      <c r="C16" s="23">
        <v>0.04</v>
      </c>
      <c r="D16" s="24">
        <v>0.04</v>
      </c>
      <c r="F16" s="14">
        <f t="shared" si="0"/>
        <v>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6678-5242-4D15-AE9B-75CA486C3ECB}">
  <dimension ref="A1:G16"/>
  <sheetViews>
    <sheetView zoomScale="85" zoomScaleNormal="85" workbookViewId="0">
      <selection activeCell="F3" sqref="F3:F16"/>
    </sheetView>
  </sheetViews>
  <sheetFormatPr defaultRowHeight="15" x14ac:dyDescent="0.25"/>
  <cols>
    <col min="1" max="1" width="21.5703125" customWidth="1"/>
    <col min="2" max="3" width="17" customWidth="1"/>
    <col min="4" max="4" width="19.28515625" customWidth="1"/>
  </cols>
  <sheetData>
    <row r="1" spans="1:7" ht="35.25" customHeight="1" x14ac:dyDescent="0.25">
      <c r="A1" s="48" t="s">
        <v>37</v>
      </c>
      <c r="B1" s="48"/>
      <c r="C1" s="48"/>
      <c r="D1" s="48"/>
    </row>
    <row r="2" spans="1:7" ht="33" x14ac:dyDescent="0.25">
      <c r="A2" s="18"/>
      <c r="B2" s="19" t="s">
        <v>34</v>
      </c>
      <c r="C2" s="13" t="s">
        <v>35</v>
      </c>
      <c r="D2" s="13" t="s">
        <v>36</v>
      </c>
    </row>
    <row r="3" spans="1:7" ht="39" customHeight="1" x14ac:dyDescent="0.25">
      <c r="A3" s="21" t="s">
        <v>12</v>
      </c>
      <c r="B3" s="22">
        <v>0.33</v>
      </c>
      <c r="C3" s="23">
        <v>0.43</v>
      </c>
      <c r="D3" s="24">
        <v>0.28000000000000003</v>
      </c>
      <c r="G3" s="14">
        <f>+D3-C3</f>
        <v>-0.14999999999999997</v>
      </c>
    </row>
    <row r="4" spans="1:7" ht="42.75" customHeight="1" x14ac:dyDescent="0.25">
      <c r="A4" s="21" t="s">
        <v>16</v>
      </c>
      <c r="B4" s="22">
        <v>0.33</v>
      </c>
      <c r="C4" s="23">
        <v>0.4</v>
      </c>
      <c r="D4" s="24">
        <v>0.32</v>
      </c>
      <c r="G4" s="14">
        <f t="shared" ref="G4:G16" si="0">+D4-C4</f>
        <v>-8.0000000000000016E-2</v>
      </c>
    </row>
    <row r="5" spans="1:7" ht="38.25" customHeight="1" x14ac:dyDescent="0.25">
      <c r="A5" s="21" t="s">
        <v>17</v>
      </c>
      <c r="B5" s="22">
        <v>0.33</v>
      </c>
      <c r="C5" s="23">
        <v>0.34</v>
      </c>
      <c r="D5" s="24">
        <v>0.2</v>
      </c>
      <c r="G5" s="14">
        <f t="shared" si="0"/>
        <v>-0.14000000000000001</v>
      </c>
    </row>
    <row r="6" spans="1:7" ht="39" customHeight="1" x14ac:dyDescent="0.25">
      <c r="A6" s="21" t="s">
        <v>18</v>
      </c>
      <c r="B6" s="22">
        <v>0.36</v>
      </c>
      <c r="C6" s="23">
        <v>0.41</v>
      </c>
      <c r="D6" s="24">
        <v>0.23</v>
      </c>
      <c r="G6" s="14">
        <f t="shared" si="0"/>
        <v>-0.17999999999999997</v>
      </c>
    </row>
    <row r="7" spans="1:7" ht="35.25" customHeight="1" x14ac:dyDescent="0.25">
      <c r="A7" s="21" t="s">
        <v>20</v>
      </c>
      <c r="B7" s="22">
        <v>0.28999999999999998</v>
      </c>
      <c r="C7" s="23">
        <v>0.33</v>
      </c>
      <c r="D7" s="24">
        <v>0.19</v>
      </c>
      <c r="G7" s="14">
        <f t="shared" si="0"/>
        <v>-0.14000000000000001</v>
      </c>
    </row>
    <row r="8" spans="1:7" ht="31.5" customHeight="1" x14ac:dyDescent="0.25">
      <c r="A8" s="21" t="s">
        <v>21</v>
      </c>
      <c r="B8" s="22">
        <v>0.34</v>
      </c>
      <c r="C8" s="23">
        <v>0.34</v>
      </c>
      <c r="D8" s="24">
        <v>0.3</v>
      </c>
      <c r="G8" s="14">
        <f t="shared" si="0"/>
        <v>-4.0000000000000036E-2</v>
      </c>
    </row>
    <row r="9" spans="1:7" ht="33.75" customHeight="1" x14ac:dyDescent="0.25">
      <c r="A9" s="21" t="s">
        <v>22</v>
      </c>
      <c r="B9" s="22">
        <v>0.26</v>
      </c>
      <c r="C9" s="23">
        <v>0.32</v>
      </c>
      <c r="D9" s="24">
        <v>0.28999999999999998</v>
      </c>
      <c r="G9" s="14">
        <f t="shared" si="0"/>
        <v>-3.0000000000000027E-2</v>
      </c>
    </row>
    <row r="10" spans="1:7" ht="45" customHeight="1" x14ac:dyDescent="0.25">
      <c r="A10" s="21" t="s">
        <v>24</v>
      </c>
      <c r="B10" s="22">
        <v>0.34</v>
      </c>
      <c r="C10" s="23">
        <v>0.38</v>
      </c>
      <c r="D10" s="24">
        <v>0.31</v>
      </c>
      <c r="G10" s="14">
        <f t="shared" si="0"/>
        <v>-7.0000000000000007E-2</v>
      </c>
    </row>
    <row r="11" spans="1:7" ht="39.75" customHeight="1" x14ac:dyDescent="0.25">
      <c r="A11" s="21" t="s">
        <v>25</v>
      </c>
      <c r="B11" s="22">
        <v>0.3</v>
      </c>
      <c r="C11" s="23">
        <v>0.37</v>
      </c>
      <c r="D11" s="24">
        <v>0.31</v>
      </c>
      <c r="G11" s="14">
        <f t="shared" si="0"/>
        <v>-0.06</v>
      </c>
    </row>
    <row r="12" spans="1:7" ht="41.25" customHeight="1" x14ac:dyDescent="0.25">
      <c r="A12" s="21" t="s">
        <v>26</v>
      </c>
      <c r="B12" s="22">
        <v>0.24</v>
      </c>
      <c r="C12" s="23">
        <v>0.28999999999999998</v>
      </c>
      <c r="D12" s="24">
        <v>0.26</v>
      </c>
      <c r="G12" s="14">
        <f t="shared" si="0"/>
        <v>-2.9999999999999971E-2</v>
      </c>
    </row>
    <row r="13" spans="1:7" ht="48" customHeight="1" x14ac:dyDescent="0.25">
      <c r="A13" s="21" t="s">
        <v>27</v>
      </c>
      <c r="B13" s="22">
        <v>0.32</v>
      </c>
      <c r="C13" s="23">
        <v>0.46</v>
      </c>
      <c r="D13" s="24">
        <v>0.4</v>
      </c>
      <c r="G13" s="14">
        <f t="shared" si="0"/>
        <v>-0.06</v>
      </c>
    </row>
    <row r="14" spans="1:7" ht="38.25" customHeight="1" x14ac:dyDescent="0.25">
      <c r="A14" s="21" t="s">
        <v>28</v>
      </c>
      <c r="B14" s="22">
        <v>0.39</v>
      </c>
      <c r="C14" s="23">
        <v>0.44</v>
      </c>
      <c r="D14" s="24">
        <v>0.46</v>
      </c>
      <c r="G14" s="14">
        <f t="shared" si="0"/>
        <v>2.0000000000000018E-2</v>
      </c>
    </row>
    <row r="15" spans="1:7" ht="36.75" customHeight="1" x14ac:dyDescent="0.25">
      <c r="A15" s="21" t="s">
        <v>30</v>
      </c>
      <c r="B15" s="22">
        <v>0.34</v>
      </c>
      <c r="C15" s="23">
        <v>0.35</v>
      </c>
      <c r="D15" s="24">
        <v>0.37</v>
      </c>
      <c r="G15" s="14">
        <f t="shared" si="0"/>
        <v>2.0000000000000018E-2</v>
      </c>
    </row>
    <row r="16" spans="1:7" ht="37.5" customHeight="1" x14ac:dyDescent="0.25">
      <c r="A16" s="21" t="s">
        <v>31</v>
      </c>
      <c r="B16" s="22">
        <v>0.39</v>
      </c>
      <c r="C16" s="23">
        <v>0.48</v>
      </c>
      <c r="D16" s="24">
        <v>0.46</v>
      </c>
      <c r="G16" s="14">
        <f t="shared" si="0"/>
        <v>-1.9999999999999962E-2</v>
      </c>
    </row>
  </sheetData>
  <mergeCells count="1">
    <mergeCell ref="A1:D1"/>
  </mergeCells>
  <conditionalFormatting sqref="G3:G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is_official</vt:lpstr>
      <vt:lpstr>employment</vt:lpstr>
      <vt:lpstr>Лист3 (2)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Usmonov</dc:creator>
  <cp:lastModifiedBy>Nozimjon Ortiqov</cp:lastModifiedBy>
  <dcterms:created xsi:type="dcterms:W3CDTF">2015-06-05T18:19:34Z</dcterms:created>
  <dcterms:modified xsi:type="dcterms:W3CDTF">2025-08-24T10:52:53Z</dcterms:modified>
</cp:coreProperties>
</file>