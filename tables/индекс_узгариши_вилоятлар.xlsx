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.ortiqov\Desktop\Cerr_old\Cerr\Regular\consumer confidence index\01_Survey_call_center\2024\04\сsi_q4_2024_res\tables\"/>
    </mc:Choice>
  </mc:AlternateContent>
  <xr:revisionPtr revIDLastSave="0" documentId="13_ncr:1_{F34B82F9-06E9-4A47-A79C-2AA98E529CC8}" xr6:coauthVersionLast="47" xr6:coauthVersionMax="47" xr10:uidLastSave="{00000000-0000-0000-0000-000000000000}"/>
  <bookViews>
    <workbookView xWindow="-120" yWindow="-120" windowWidth="29040" windowHeight="15990" xr2:uid="{1CE268A8-CE2E-4944-A7BE-41B4C90FEDF6}"/>
  </bookViews>
  <sheets>
    <sheet name="1table" sheetId="1" r:id="rId1"/>
    <sheet name="1table_reversed_order" sheetId="4" state="hidden" r:id="rId2"/>
    <sheet name="chart_1" sheetId="2" state="hidden" r:id="rId3"/>
    <sheet name="chart_2" sheetId="3" state="hidden" r:id="rId4"/>
  </sheets>
  <definedNames>
    <definedName name="_xlnm._FilterDatabase" localSheetId="0" hidden="1">'1table'!$A$2:$Q$2</definedName>
    <definedName name="_xlnm._FilterDatabase" localSheetId="1" hidden="1">'1table_reversed_order'!$A$1:$P$1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3" i="4" l="1"/>
  <c r="P4" i="4"/>
  <c r="P5" i="4"/>
  <c r="P6" i="4"/>
  <c r="P7" i="4"/>
  <c r="P8" i="4"/>
  <c r="P9" i="4"/>
  <c r="P10" i="4"/>
  <c r="P11" i="4"/>
  <c r="P12" i="4"/>
  <c r="P13" i="4"/>
  <c r="P14" i="4"/>
  <c r="P15" i="4"/>
  <c r="P2" i="4"/>
</calcChain>
</file>

<file path=xl/sharedStrings.xml><?xml version="1.0" encoding="utf-8"?>
<sst xmlns="http://schemas.openxmlformats.org/spreadsheetml/2006/main" count="83" uniqueCount="48">
  <si>
    <t>Жиззах вилояти</t>
  </si>
  <si>
    <t>Андижон вилояти</t>
  </si>
  <si>
    <t>Фарғона вилояти</t>
  </si>
  <si>
    <t>Самарқанд вилояти</t>
  </si>
  <si>
    <t>Қорақалпоғистон Республикаси</t>
  </si>
  <si>
    <t>Тошкент вилояти</t>
  </si>
  <si>
    <t>Тошкент шаҳри</t>
  </si>
  <si>
    <t>Навоий вилояти</t>
  </si>
  <si>
    <t>Бухоро вилояти</t>
  </si>
  <si>
    <t>Сирдарё вилояти</t>
  </si>
  <si>
    <t>Наманган вилояти</t>
  </si>
  <si>
    <t>Хоразм вилояти</t>
  </si>
  <si>
    <t>Сурхондарё вилояти</t>
  </si>
  <si>
    <t>Қашқадарё вилояти</t>
  </si>
  <si>
    <t>regions</t>
  </si>
  <si>
    <t>april</t>
  </si>
  <si>
    <t>jan</t>
  </si>
  <si>
    <t>nov</t>
  </si>
  <si>
    <t>july</t>
  </si>
  <si>
    <t xml:space="preserve">Октябрь </t>
  </si>
  <si>
    <t>январь</t>
  </si>
  <si>
    <t>апрель</t>
  </si>
  <si>
    <t>июль</t>
  </si>
  <si>
    <t>2021 июль</t>
  </si>
  <si>
    <t>2022 июль</t>
  </si>
  <si>
    <t xml:space="preserve">Навоий </t>
  </si>
  <si>
    <t xml:space="preserve">Андижон </t>
  </si>
  <si>
    <t xml:space="preserve">Бухоро </t>
  </si>
  <si>
    <t xml:space="preserve">Фарғона </t>
  </si>
  <si>
    <t xml:space="preserve">Хоразм </t>
  </si>
  <si>
    <t xml:space="preserve">Наманган </t>
  </si>
  <si>
    <t xml:space="preserve">Сирдарё </t>
  </si>
  <si>
    <t xml:space="preserve">Самарқанд </t>
  </si>
  <si>
    <t xml:space="preserve">Сурхондарё </t>
  </si>
  <si>
    <t xml:space="preserve">Жиззах </t>
  </si>
  <si>
    <t xml:space="preserve">Қашқадарё </t>
  </si>
  <si>
    <t xml:space="preserve">Тошкент </t>
  </si>
  <si>
    <t xml:space="preserve">Қорақалпоғистон </t>
  </si>
  <si>
    <t>Тошкент ш.</t>
  </si>
  <si>
    <t>Газ таъминоти муаммоси</t>
  </si>
  <si>
    <t>Иш ўринлари етишмаслиги</t>
  </si>
  <si>
    <t>Ички йўллар сифати муаммоси</t>
  </si>
  <si>
    <t>Электр энергия муаммоси</t>
  </si>
  <si>
    <t>Ичимлик суви муаммоси</t>
  </si>
  <si>
    <t>Октябрь</t>
  </si>
  <si>
    <t>ўзгариш</t>
  </si>
  <si>
    <t>Октябр</t>
  </si>
  <si>
    <t>Қорақалпоғистон Рес.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</si>
</sst>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9" fontId="0" fillId="0" borderId="0" xfId="0" applyNumberFormat="1"/>
    <xf numFmtId="17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A31E-1CBD-4620-A9FA-05D734B116E5}">
  <dimension ref="A1:R16"/>
  <sheetViews>
    <sheetView tabSelected="1" workbookViewId="0">
      <selection activeCell="R2" sqref="R2"/>
    </sheetView>
  </sheetViews>
  <sheetFormatPr defaultRowHeight="15" x14ac:dyDescent="0.25"/>
  <cols>
    <col min="1" max="1" width="34.140625" customWidth="1"/>
    <col min="2" max="2" width="7.5703125" customWidth="1"/>
    <col min="3" max="3" width="6" bestFit="1" customWidth="1"/>
    <col min="4" max="4" width="7.28515625" customWidth="1"/>
    <col min="5" max="5" width="8.140625" bestFit="1" customWidth="1"/>
    <col min="6" max="6" width="10.85546875" bestFit="1" customWidth="1"/>
    <col min="7" max="7" width="9.5703125" customWidth="1"/>
    <col min="8" max="8" width="9.85546875" customWidth="1"/>
    <col min="9" max="9" width="8.140625" customWidth="1"/>
    <col min="10" max="10" width="9.85546875" bestFit="1" customWidth="1"/>
    <col min="11" max="11" width="9.5703125" bestFit="1" customWidth="1"/>
    <col min="12" max="12" width="9.85546875" bestFit="1" customWidth="1"/>
    <col min="13" max="13" width="8.140625" bestFit="1" customWidth="1"/>
    <col min="14" max="14" width="10.85546875" bestFit="1" customWidth="1"/>
    <col min="15" max="15" width="9.85546875" bestFit="1" customWidth="1"/>
    <col min="16" max="16" width="8.140625" bestFit="1" customWidth="1"/>
    <col min="17" max="17" width="10.85546875" bestFit="1" customWidth="1"/>
  </cols>
  <sheetData>
    <row r="1" spans="1:18" x14ac:dyDescent="0.25">
      <c r="C1" s="5">
        <v>2021</v>
      </c>
      <c r="D1" s="5"/>
      <c r="E1" s="5"/>
      <c r="F1" s="5"/>
      <c r="G1" s="5">
        <v>2022</v>
      </c>
      <c r="H1" s="5"/>
      <c r="I1" s="5"/>
      <c r="J1" s="5"/>
      <c r="K1" s="5">
        <v>2023</v>
      </c>
      <c r="L1" s="5"/>
      <c r="M1" s="5"/>
      <c r="N1" s="5"/>
      <c r="O1" s="5">
        <v>2024</v>
      </c>
      <c r="P1" s="5"/>
      <c r="Q1" s="5"/>
      <c r="R1">
        <v>2025</v>
      </c>
    </row>
    <row r="2" spans="1:18" x14ac:dyDescent="0.25">
      <c r="A2" t="s">
        <v>14</v>
      </c>
      <c r="B2" s="4" t="s">
        <v>17</v>
      </c>
      <c r="C2" s="4" t="s">
        <v>16</v>
      </c>
      <c r="D2" s="4" t="s">
        <v>15</v>
      </c>
      <c r="E2" s="4" t="s">
        <v>22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46</v>
      </c>
      <c r="K2" s="4" t="s">
        <v>20</v>
      </c>
      <c r="L2" s="4" t="s">
        <v>21</v>
      </c>
      <c r="M2" s="4" t="s">
        <v>22</v>
      </c>
      <c r="N2" s="4" t="s">
        <v>44</v>
      </c>
      <c r="O2" s="4" t="s">
        <v>21</v>
      </c>
      <c r="P2" s="4" t="s">
        <v>22</v>
      </c>
      <c r="Q2" s="4" t="s">
        <v>44</v>
      </c>
      <c r="R2" s="4" t="s">
        <v>20</v>
      </c>
    </row>
    <row r="3" spans="1:18" x14ac:dyDescent="0.25">
      <c r="A3" t="s">
        <v>25</v>
      </c>
      <c r="B3">
        <v>127</v>
      </c>
      <c r="C3">
        <v>119</v>
      </c>
      <c r="D3" s="1">
        <v>131.69999999999999</v>
      </c>
      <c r="E3" s="1">
        <v>119.1</v>
      </c>
      <c r="F3">
        <v>133</v>
      </c>
      <c r="G3">
        <v>121</v>
      </c>
      <c r="H3">
        <v>124</v>
      </c>
      <c r="I3">
        <v>128</v>
      </c>
      <c r="J3">
        <v>125</v>
      </c>
      <c r="K3">
        <v>118</v>
      </c>
      <c r="L3">
        <v>123</v>
      </c>
      <c r="M3">
        <v>118</v>
      </c>
      <c r="N3">
        <v>116</v>
      </c>
      <c r="O3">
        <v>103</v>
      </c>
      <c r="P3">
        <v>104</v>
      </c>
      <c r="Q3">
        <v>115</v>
      </c>
    </row>
    <row r="4" spans="1:18" x14ac:dyDescent="0.25">
      <c r="A4" t="s">
        <v>26</v>
      </c>
      <c r="B4">
        <v>105</v>
      </c>
      <c r="C4">
        <v>112</v>
      </c>
      <c r="D4" s="1">
        <v>120.5</v>
      </c>
      <c r="E4" s="1">
        <v>123.7</v>
      </c>
      <c r="F4">
        <v>132</v>
      </c>
      <c r="G4">
        <v>122</v>
      </c>
      <c r="H4">
        <v>120</v>
      </c>
      <c r="I4">
        <v>127</v>
      </c>
      <c r="J4">
        <v>128</v>
      </c>
      <c r="K4">
        <v>102</v>
      </c>
      <c r="L4">
        <v>125</v>
      </c>
      <c r="M4">
        <v>126</v>
      </c>
      <c r="N4">
        <v>121</v>
      </c>
      <c r="O4">
        <v>114</v>
      </c>
      <c r="P4">
        <v>107</v>
      </c>
      <c r="Q4">
        <v>113</v>
      </c>
    </row>
    <row r="5" spans="1:18" x14ac:dyDescent="0.25">
      <c r="A5" t="s">
        <v>27</v>
      </c>
      <c r="B5">
        <v>109</v>
      </c>
      <c r="C5">
        <v>114</v>
      </c>
      <c r="D5" s="1">
        <v>115.4</v>
      </c>
      <c r="E5" s="1">
        <v>117.1</v>
      </c>
      <c r="F5">
        <v>128</v>
      </c>
      <c r="G5">
        <v>124</v>
      </c>
      <c r="H5">
        <v>114</v>
      </c>
      <c r="I5">
        <v>126</v>
      </c>
      <c r="J5">
        <v>129</v>
      </c>
      <c r="K5">
        <v>112</v>
      </c>
      <c r="L5">
        <v>123</v>
      </c>
      <c r="M5">
        <v>116</v>
      </c>
      <c r="N5">
        <v>122</v>
      </c>
      <c r="O5">
        <v>104</v>
      </c>
      <c r="P5">
        <v>107</v>
      </c>
      <c r="Q5">
        <v>112</v>
      </c>
    </row>
    <row r="6" spans="1:18" x14ac:dyDescent="0.25">
      <c r="A6" t="s">
        <v>29</v>
      </c>
      <c r="B6">
        <v>106</v>
      </c>
      <c r="C6">
        <v>110</v>
      </c>
      <c r="D6" s="1">
        <v>114.9</v>
      </c>
      <c r="E6" s="1">
        <v>115.8</v>
      </c>
      <c r="F6">
        <v>121</v>
      </c>
      <c r="G6">
        <v>115</v>
      </c>
      <c r="H6">
        <v>117</v>
      </c>
      <c r="I6">
        <v>124</v>
      </c>
      <c r="J6">
        <v>126</v>
      </c>
      <c r="K6">
        <v>110</v>
      </c>
      <c r="L6">
        <v>117</v>
      </c>
      <c r="M6">
        <v>111</v>
      </c>
      <c r="N6">
        <v>118</v>
      </c>
      <c r="O6">
        <v>100</v>
      </c>
      <c r="P6">
        <v>105</v>
      </c>
      <c r="Q6">
        <v>111</v>
      </c>
    </row>
    <row r="7" spans="1:18" x14ac:dyDescent="0.25">
      <c r="A7" t="s">
        <v>30</v>
      </c>
      <c r="B7">
        <v>109</v>
      </c>
      <c r="C7">
        <v>110</v>
      </c>
      <c r="D7" s="1">
        <v>122.2</v>
      </c>
      <c r="E7" s="1">
        <v>122.7</v>
      </c>
      <c r="F7">
        <v>129</v>
      </c>
      <c r="G7">
        <v>117</v>
      </c>
      <c r="H7">
        <v>124</v>
      </c>
      <c r="I7">
        <v>123</v>
      </c>
      <c r="J7">
        <v>130</v>
      </c>
      <c r="K7">
        <v>106</v>
      </c>
      <c r="L7">
        <v>123</v>
      </c>
      <c r="M7">
        <v>117</v>
      </c>
      <c r="N7">
        <v>122</v>
      </c>
      <c r="O7">
        <v>106</v>
      </c>
      <c r="P7">
        <v>107</v>
      </c>
      <c r="Q7">
        <v>110</v>
      </c>
    </row>
    <row r="8" spans="1:18" x14ac:dyDescent="0.25">
      <c r="A8" t="s">
        <v>31</v>
      </c>
      <c r="B8">
        <v>92</v>
      </c>
      <c r="C8">
        <v>111</v>
      </c>
      <c r="D8" s="1">
        <v>114.6</v>
      </c>
      <c r="E8" s="1">
        <v>118.4</v>
      </c>
      <c r="F8">
        <v>126</v>
      </c>
      <c r="G8">
        <v>115</v>
      </c>
      <c r="H8">
        <v>110</v>
      </c>
      <c r="I8">
        <v>122</v>
      </c>
      <c r="J8">
        <v>121</v>
      </c>
      <c r="K8">
        <v>106</v>
      </c>
      <c r="L8">
        <v>117</v>
      </c>
      <c r="M8">
        <v>110</v>
      </c>
      <c r="N8">
        <v>115</v>
      </c>
      <c r="O8">
        <v>104</v>
      </c>
      <c r="P8">
        <v>108</v>
      </c>
      <c r="Q8">
        <v>110</v>
      </c>
    </row>
    <row r="9" spans="1:18" x14ac:dyDescent="0.25">
      <c r="A9" t="s">
        <v>32</v>
      </c>
      <c r="B9">
        <v>105</v>
      </c>
      <c r="C9">
        <v>108</v>
      </c>
      <c r="D9" s="1">
        <v>112.7</v>
      </c>
      <c r="E9" s="1">
        <v>114.4</v>
      </c>
      <c r="F9">
        <v>120</v>
      </c>
      <c r="G9">
        <v>117</v>
      </c>
      <c r="H9">
        <v>112</v>
      </c>
      <c r="I9">
        <v>121</v>
      </c>
      <c r="J9">
        <v>124</v>
      </c>
      <c r="K9">
        <v>113</v>
      </c>
      <c r="L9">
        <v>120</v>
      </c>
      <c r="M9">
        <v>109</v>
      </c>
      <c r="N9">
        <v>115</v>
      </c>
      <c r="O9">
        <v>102</v>
      </c>
      <c r="P9">
        <v>110</v>
      </c>
      <c r="Q9">
        <v>109</v>
      </c>
    </row>
    <row r="10" spans="1:18" x14ac:dyDescent="0.25">
      <c r="A10" t="s">
        <v>28</v>
      </c>
      <c r="B10">
        <v>108</v>
      </c>
      <c r="C10">
        <v>108</v>
      </c>
      <c r="D10" s="1">
        <v>117</v>
      </c>
      <c r="E10" s="1">
        <v>118.9</v>
      </c>
      <c r="F10">
        <v>130</v>
      </c>
      <c r="G10">
        <v>120</v>
      </c>
      <c r="H10">
        <v>123</v>
      </c>
      <c r="I10">
        <v>124</v>
      </c>
      <c r="J10">
        <v>128</v>
      </c>
      <c r="K10">
        <v>102</v>
      </c>
      <c r="L10">
        <v>120</v>
      </c>
      <c r="M10">
        <v>124</v>
      </c>
      <c r="N10">
        <v>123</v>
      </c>
      <c r="O10">
        <v>116</v>
      </c>
      <c r="P10">
        <v>105</v>
      </c>
      <c r="Q10">
        <v>109</v>
      </c>
    </row>
    <row r="11" spans="1:18" x14ac:dyDescent="0.25">
      <c r="A11" t="s">
        <v>34</v>
      </c>
      <c r="B11">
        <v>107</v>
      </c>
      <c r="C11">
        <v>108</v>
      </c>
      <c r="D11" s="1">
        <v>120.6</v>
      </c>
      <c r="E11" s="1">
        <v>118</v>
      </c>
      <c r="F11">
        <v>128</v>
      </c>
      <c r="G11">
        <v>119</v>
      </c>
      <c r="H11">
        <v>117</v>
      </c>
      <c r="I11">
        <v>117</v>
      </c>
      <c r="J11">
        <v>122</v>
      </c>
      <c r="K11">
        <v>108</v>
      </c>
      <c r="L11">
        <v>117</v>
      </c>
      <c r="M11">
        <v>113</v>
      </c>
      <c r="N11">
        <v>118</v>
      </c>
      <c r="O11">
        <v>103</v>
      </c>
      <c r="P11">
        <v>107</v>
      </c>
      <c r="Q11">
        <v>107</v>
      </c>
    </row>
    <row r="12" spans="1:18" x14ac:dyDescent="0.25">
      <c r="A12" t="s">
        <v>35</v>
      </c>
      <c r="B12">
        <v>102</v>
      </c>
      <c r="C12">
        <v>109</v>
      </c>
      <c r="D12" s="1">
        <v>113.7</v>
      </c>
      <c r="E12" s="1">
        <v>114.9</v>
      </c>
      <c r="F12">
        <v>116</v>
      </c>
      <c r="G12">
        <v>111</v>
      </c>
      <c r="H12">
        <v>115</v>
      </c>
      <c r="I12">
        <v>116</v>
      </c>
      <c r="J12">
        <v>119</v>
      </c>
      <c r="K12">
        <v>102</v>
      </c>
      <c r="L12">
        <v>114</v>
      </c>
      <c r="M12">
        <v>110</v>
      </c>
      <c r="N12">
        <v>112</v>
      </c>
      <c r="O12">
        <v>103</v>
      </c>
      <c r="P12">
        <v>106</v>
      </c>
      <c r="Q12">
        <v>105</v>
      </c>
    </row>
    <row r="13" spans="1:18" x14ac:dyDescent="0.25">
      <c r="A13" t="s">
        <v>38</v>
      </c>
      <c r="B13">
        <v>91</v>
      </c>
      <c r="C13">
        <v>95</v>
      </c>
      <c r="D13" s="1">
        <v>99.6</v>
      </c>
      <c r="E13" s="1">
        <v>101.8</v>
      </c>
      <c r="F13">
        <v>114</v>
      </c>
      <c r="G13">
        <v>108</v>
      </c>
      <c r="H13">
        <v>112</v>
      </c>
      <c r="I13">
        <v>107</v>
      </c>
      <c r="J13">
        <v>117</v>
      </c>
      <c r="K13">
        <v>110</v>
      </c>
      <c r="L13">
        <v>114</v>
      </c>
      <c r="M13">
        <v>106</v>
      </c>
      <c r="N13">
        <v>112</v>
      </c>
      <c r="O13">
        <v>106</v>
      </c>
      <c r="P13">
        <v>103</v>
      </c>
      <c r="Q13">
        <v>104</v>
      </c>
    </row>
    <row r="14" spans="1:18" x14ac:dyDescent="0.25">
      <c r="A14" t="s">
        <v>47</v>
      </c>
      <c r="B14">
        <v>102</v>
      </c>
      <c r="C14">
        <v>110</v>
      </c>
      <c r="D14" s="1">
        <v>112.5</v>
      </c>
      <c r="E14" s="1">
        <v>111</v>
      </c>
      <c r="F14">
        <v>119</v>
      </c>
      <c r="G14">
        <v>112</v>
      </c>
      <c r="H14">
        <v>109</v>
      </c>
      <c r="I14">
        <v>110</v>
      </c>
      <c r="J14">
        <v>115</v>
      </c>
      <c r="K14">
        <v>105</v>
      </c>
      <c r="L14">
        <v>109</v>
      </c>
      <c r="M14">
        <v>105</v>
      </c>
      <c r="N14">
        <v>110</v>
      </c>
      <c r="O14">
        <v>89</v>
      </c>
      <c r="P14">
        <v>102</v>
      </c>
      <c r="Q14">
        <v>103</v>
      </c>
    </row>
    <row r="15" spans="1:18" x14ac:dyDescent="0.25">
      <c r="A15" t="s">
        <v>33</v>
      </c>
      <c r="B15">
        <v>112</v>
      </c>
      <c r="C15">
        <v>108</v>
      </c>
      <c r="D15" s="1">
        <v>117.3</v>
      </c>
      <c r="E15" s="1">
        <v>111.3</v>
      </c>
      <c r="F15">
        <v>117</v>
      </c>
      <c r="G15">
        <v>115</v>
      </c>
      <c r="H15">
        <v>117</v>
      </c>
      <c r="I15">
        <v>119</v>
      </c>
      <c r="J15">
        <v>123</v>
      </c>
      <c r="K15">
        <v>102</v>
      </c>
      <c r="L15">
        <v>120</v>
      </c>
      <c r="M15">
        <v>113</v>
      </c>
      <c r="N15">
        <v>112</v>
      </c>
      <c r="O15">
        <v>101</v>
      </c>
      <c r="P15">
        <v>103</v>
      </c>
      <c r="Q15">
        <v>102</v>
      </c>
    </row>
    <row r="16" spans="1:18" x14ac:dyDescent="0.25">
      <c r="A16" t="s">
        <v>36</v>
      </c>
      <c r="B16">
        <v>98</v>
      </c>
      <c r="C16">
        <v>112</v>
      </c>
      <c r="D16" s="1">
        <v>112.2</v>
      </c>
      <c r="E16" s="1">
        <v>112.6</v>
      </c>
      <c r="F16">
        <v>121</v>
      </c>
      <c r="G16">
        <v>113</v>
      </c>
      <c r="H16">
        <v>112</v>
      </c>
      <c r="I16">
        <v>116</v>
      </c>
      <c r="J16">
        <v>116</v>
      </c>
      <c r="K16">
        <v>109</v>
      </c>
      <c r="L16">
        <v>114</v>
      </c>
      <c r="M16">
        <v>111</v>
      </c>
      <c r="N16">
        <v>112</v>
      </c>
      <c r="O16">
        <v>100</v>
      </c>
      <c r="P16">
        <v>105</v>
      </c>
      <c r="Q16">
        <v>102</v>
      </c>
    </row>
  </sheetData>
  <autoFilter ref="A2:Q2" xr:uid="{D39AEE1E-5B20-4615-A033-A9BA1960C570}">
    <sortState xmlns:xlrd2="http://schemas.microsoft.com/office/spreadsheetml/2017/richdata2" ref="A3:Q16">
      <sortCondition descending="1" ref="Q2"/>
    </sortState>
  </autoFilter>
  <mergeCells count="4">
    <mergeCell ref="O1:Q1"/>
    <mergeCell ref="K1:N1"/>
    <mergeCell ref="G1:J1"/>
    <mergeCell ref="C1:F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B870-BDA3-4EAD-8BA0-C6CF22AD9669}">
  <dimension ref="A1:P15"/>
  <sheetViews>
    <sheetView workbookViewId="0">
      <selection activeCell="P2" sqref="P2:P15"/>
    </sheetView>
  </sheetViews>
  <sheetFormatPr defaultRowHeight="15" x14ac:dyDescent="0.25"/>
  <cols>
    <col min="1" max="1" width="34.140625" customWidth="1"/>
    <col min="2" max="2" width="10.85546875" bestFit="1" customWidth="1"/>
    <col min="3" max="3" width="8.140625" bestFit="1" customWidth="1"/>
    <col min="4" max="4" width="7.28515625" bestFit="1" customWidth="1"/>
    <col min="5" max="5" width="9.5703125" bestFit="1" customWidth="1"/>
    <col min="6" max="6" width="10.85546875" bestFit="1" customWidth="1"/>
    <col min="7" max="7" width="8.140625" bestFit="1" customWidth="1"/>
    <col min="8" max="8" width="9.85546875" bestFit="1" customWidth="1"/>
    <col min="9" max="9" width="9.5703125" bestFit="1" customWidth="1"/>
    <col min="10" max="10" width="14.140625" customWidth="1"/>
    <col min="11" max="11" width="9.140625" customWidth="1"/>
    <col min="12" max="12" width="10.28515625" customWidth="1"/>
    <col min="13" max="14" width="8.7109375" customWidth="1"/>
    <col min="16" max="16" width="21.42578125" customWidth="1"/>
  </cols>
  <sheetData>
    <row r="1" spans="1:16" x14ac:dyDescent="0.25">
      <c r="A1" t="s">
        <v>14</v>
      </c>
      <c r="B1" t="s">
        <v>44</v>
      </c>
      <c r="C1" t="s">
        <v>22</v>
      </c>
      <c r="D1" t="s">
        <v>15</v>
      </c>
      <c r="E1" t="s">
        <v>20</v>
      </c>
      <c r="F1" t="s">
        <v>44</v>
      </c>
      <c r="G1" t="s">
        <v>22</v>
      </c>
      <c r="H1" t="s">
        <v>21</v>
      </c>
      <c r="I1" t="s">
        <v>20</v>
      </c>
      <c r="J1" t="s">
        <v>19</v>
      </c>
      <c r="K1" t="s">
        <v>18</v>
      </c>
      <c r="L1" t="s">
        <v>15</v>
      </c>
      <c r="M1" t="s">
        <v>16</v>
      </c>
      <c r="N1" t="s">
        <v>17</v>
      </c>
      <c r="P1" t="s">
        <v>45</v>
      </c>
    </row>
    <row r="2" spans="1:16" x14ac:dyDescent="0.25">
      <c r="A2" t="s">
        <v>1</v>
      </c>
      <c r="B2">
        <v>121</v>
      </c>
      <c r="C2">
        <v>126</v>
      </c>
      <c r="D2">
        <v>125</v>
      </c>
      <c r="E2">
        <v>102</v>
      </c>
      <c r="F2">
        <v>128</v>
      </c>
      <c r="G2">
        <v>127</v>
      </c>
      <c r="H2">
        <v>120</v>
      </c>
      <c r="I2">
        <v>122</v>
      </c>
      <c r="J2">
        <v>132</v>
      </c>
      <c r="K2" s="1">
        <v>123.7</v>
      </c>
      <c r="L2" s="1">
        <v>120.5</v>
      </c>
      <c r="M2">
        <v>112</v>
      </c>
      <c r="N2">
        <v>105</v>
      </c>
      <c r="P2" s="1">
        <f>+B2-F2</f>
        <v>-7</v>
      </c>
    </row>
    <row r="3" spans="1:16" x14ac:dyDescent="0.25">
      <c r="A3" t="s">
        <v>8</v>
      </c>
      <c r="B3">
        <v>122</v>
      </c>
      <c r="C3">
        <v>116</v>
      </c>
      <c r="D3">
        <v>123</v>
      </c>
      <c r="E3">
        <v>112</v>
      </c>
      <c r="F3">
        <v>129</v>
      </c>
      <c r="G3">
        <v>126</v>
      </c>
      <c r="H3">
        <v>114</v>
      </c>
      <c r="I3">
        <v>124</v>
      </c>
      <c r="J3">
        <v>128</v>
      </c>
      <c r="K3" s="1">
        <v>117.1</v>
      </c>
      <c r="L3" s="1">
        <v>115.4</v>
      </c>
      <c r="M3">
        <v>114</v>
      </c>
      <c r="N3">
        <v>109</v>
      </c>
      <c r="P3" s="1">
        <f t="shared" ref="P3:P15" si="0">+B3-F3</f>
        <v>-7</v>
      </c>
    </row>
    <row r="4" spans="1:16" x14ac:dyDescent="0.25">
      <c r="A4" t="s">
        <v>0</v>
      </c>
      <c r="B4">
        <v>118</v>
      </c>
      <c r="C4">
        <v>113</v>
      </c>
      <c r="D4">
        <v>117</v>
      </c>
      <c r="E4">
        <v>108</v>
      </c>
      <c r="F4">
        <v>122</v>
      </c>
      <c r="G4">
        <v>117</v>
      </c>
      <c r="H4">
        <v>117</v>
      </c>
      <c r="I4">
        <v>119</v>
      </c>
      <c r="J4">
        <v>128</v>
      </c>
      <c r="K4" s="1">
        <v>118</v>
      </c>
      <c r="L4" s="1">
        <v>120.6</v>
      </c>
      <c r="M4">
        <v>108</v>
      </c>
      <c r="N4">
        <v>107</v>
      </c>
      <c r="P4" s="1">
        <f t="shared" si="0"/>
        <v>-4</v>
      </c>
    </row>
    <row r="5" spans="1:16" x14ac:dyDescent="0.25">
      <c r="A5" t="s">
        <v>13</v>
      </c>
      <c r="B5">
        <v>112</v>
      </c>
      <c r="C5">
        <v>110</v>
      </c>
      <c r="D5">
        <v>114</v>
      </c>
      <c r="E5">
        <v>102</v>
      </c>
      <c r="F5">
        <v>119</v>
      </c>
      <c r="G5">
        <v>116</v>
      </c>
      <c r="H5">
        <v>115</v>
      </c>
      <c r="I5">
        <v>111</v>
      </c>
      <c r="J5">
        <v>116</v>
      </c>
      <c r="K5" s="1">
        <v>114.9</v>
      </c>
      <c r="L5" s="1">
        <v>113.7</v>
      </c>
      <c r="M5">
        <v>109</v>
      </c>
      <c r="N5">
        <v>102</v>
      </c>
      <c r="P5" s="1">
        <f t="shared" si="0"/>
        <v>-7</v>
      </c>
    </row>
    <row r="6" spans="1:16" x14ac:dyDescent="0.25">
      <c r="A6" t="s">
        <v>4</v>
      </c>
      <c r="B6">
        <v>110</v>
      </c>
      <c r="C6">
        <v>105</v>
      </c>
      <c r="D6">
        <v>109</v>
      </c>
      <c r="E6">
        <v>105</v>
      </c>
      <c r="F6">
        <v>115</v>
      </c>
      <c r="G6">
        <v>110</v>
      </c>
      <c r="H6">
        <v>109</v>
      </c>
      <c r="I6">
        <v>112</v>
      </c>
      <c r="J6">
        <v>119</v>
      </c>
      <c r="K6" s="1">
        <v>111</v>
      </c>
      <c r="L6" s="1">
        <v>112.5</v>
      </c>
      <c r="M6">
        <v>110</v>
      </c>
      <c r="N6">
        <v>102</v>
      </c>
      <c r="P6" s="1">
        <f t="shared" si="0"/>
        <v>-5</v>
      </c>
    </row>
    <row r="7" spans="1:16" x14ac:dyDescent="0.25">
      <c r="A7" t="s">
        <v>7</v>
      </c>
      <c r="B7">
        <v>116</v>
      </c>
      <c r="C7">
        <v>118</v>
      </c>
      <c r="D7">
        <v>123</v>
      </c>
      <c r="E7">
        <v>118</v>
      </c>
      <c r="F7">
        <v>125</v>
      </c>
      <c r="G7">
        <v>128</v>
      </c>
      <c r="H7">
        <v>124</v>
      </c>
      <c r="I7">
        <v>121</v>
      </c>
      <c r="J7">
        <v>133</v>
      </c>
      <c r="K7" s="1">
        <v>119.1</v>
      </c>
      <c r="L7" s="1">
        <v>131.69999999999999</v>
      </c>
      <c r="M7">
        <v>119</v>
      </c>
      <c r="N7">
        <v>127</v>
      </c>
      <c r="P7" s="1">
        <f t="shared" si="0"/>
        <v>-9</v>
      </c>
    </row>
    <row r="8" spans="1:16" x14ac:dyDescent="0.25">
      <c r="A8" t="s">
        <v>10</v>
      </c>
      <c r="B8">
        <v>122</v>
      </c>
      <c r="C8">
        <v>117</v>
      </c>
      <c r="D8">
        <v>123</v>
      </c>
      <c r="E8">
        <v>106</v>
      </c>
      <c r="F8">
        <v>130</v>
      </c>
      <c r="G8">
        <v>123</v>
      </c>
      <c r="H8">
        <v>124</v>
      </c>
      <c r="I8">
        <v>117</v>
      </c>
      <c r="J8">
        <v>129</v>
      </c>
      <c r="K8" s="1">
        <v>122.7</v>
      </c>
      <c r="L8" s="1">
        <v>122.2</v>
      </c>
      <c r="M8">
        <v>110</v>
      </c>
      <c r="N8">
        <v>109</v>
      </c>
      <c r="P8" s="1">
        <f t="shared" si="0"/>
        <v>-8</v>
      </c>
    </row>
    <row r="9" spans="1:16" x14ac:dyDescent="0.25">
      <c r="A9" t="s">
        <v>3</v>
      </c>
      <c r="B9">
        <v>115</v>
      </c>
      <c r="C9">
        <v>109</v>
      </c>
      <c r="D9">
        <v>120</v>
      </c>
      <c r="E9">
        <v>113</v>
      </c>
      <c r="F9">
        <v>124</v>
      </c>
      <c r="G9">
        <v>121</v>
      </c>
      <c r="H9">
        <v>112</v>
      </c>
      <c r="I9">
        <v>117</v>
      </c>
      <c r="J9">
        <v>120</v>
      </c>
      <c r="K9" s="1">
        <v>114.4</v>
      </c>
      <c r="L9" s="1">
        <v>112.7</v>
      </c>
      <c r="M9">
        <v>108</v>
      </c>
      <c r="N9">
        <v>105</v>
      </c>
      <c r="P9" s="1">
        <f t="shared" si="0"/>
        <v>-9</v>
      </c>
    </row>
    <row r="10" spans="1:16" x14ac:dyDescent="0.25">
      <c r="A10" t="s">
        <v>9</v>
      </c>
      <c r="B10">
        <v>115</v>
      </c>
      <c r="C10">
        <v>110</v>
      </c>
      <c r="D10">
        <v>117</v>
      </c>
      <c r="E10">
        <v>106</v>
      </c>
      <c r="F10">
        <v>121</v>
      </c>
      <c r="G10">
        <v>122</v>
      </c>
      <c r="H10">
        <v>110</v>
      </c>
      <c r="I10">
        <v>115</v>
      </c>
      <c r="J10">
        <v>126</v>
      </c>
      <c r="K10" s="1">
        <v>118.4</v>
      </c>
      <c r="L10" s="1">
        <v>114.6</v>
      </c>
      <c r="M10">
        <v>111</v>
      </c>
      <c r="N10">
        <v>92</v>
      </c>
      <c r="P10" s="1">
        <f t="shared" si="0"/>
        <v>-6</v>
      </c>
    </row>
    <row r="11" spans="1:16" x14ac:dyDescent="0.25">
      <c r="A11" t="s">
        <v>12</v>
      </c>
      <c r="B11">
        <v>112</v>
      </c>
      <c r="C11">
        <v>113</v>
      </c>
      <c r="D11">
        <v>120</v>
      </c>
      <c r="E11">
        <v>102</v>
      </c>
      <c r="F11">
        <v>123</v>
      </c>
      <c r="G11">
        <v>119</v>
      </c>
      <c r="H11">
        <v>117</v>
      </c>
      <c r="I11">
        <v>115</v>
      </c>
      <c r="J11">
        <v>117</v>
      </c>
      <c r="K11" s="1">
        <v>111.3</v>
      </c>
      <c r="L11" s="1">
        <v>117.3</v>
      </c>
      <c r="M11">
        <v>108</v>
      </c>
      <c r="N11">
        <v>112</v>
      </c>
      <c r="P11" s="1">
        <f t="shared" si="0"/>
        <v>-11</v>
      </c>
    </row>
    <row r="12" spans="1:16" x14ac:dyDescent="0.25">
      <c r="A12" t="s">
        <v>5</v>
      </c>
      <c r="B12">
        <v>112</v>
      </c>
      <c r="C12">
        <v>111</v>
      </c>
      <c r="D12">
        <v>114</v>
      </c>
      <c r="E12">
        <v>109</v>
      </c>
      <c r="F12">
        <v>116</v>
      </c>
      <c r="G12">
        <v>116</v>
      </c>
      <c r="H12">
        <v>112</v>
      </c>
      <c r="I12">
        <v>113</v>
      </c>
      <c r="J12">
        <v>121</v>
      </c>
      <c r="K12" s="1">
        <v>112.6</v>
      </c>
      <c r="L12" s="1">
        <v>112.2</v>
      </c>
      <c r="M12">
        <v>112</v>
      </c>
      <c r="N12">
        <v>98</v>
      </c>
      <c r="P12" s="1">
        <f t="shared" si="0"/>
        <v>-4</v>
      </c>
    </row>
    <row r="13" spans="1:16" x14ac:dyDescent="0.25">
      <c r="A13" t="s">
        <v>6</v>
      </c>
      <c r="B13">
        <v>112</v>
      </c>
      <c r="C13">
        <v>106</v>
      </c>
      <c r="D13">
        <v>114</v>
      </c>
      <c r="E13">
        <v>110</v>
      </c>
      <c r="F13">
        <v>117</v>
      </c>
      <c r="G13">
        <v>107</v>
      </c>
      <c r="H13">
        <v>112</v>
      </c>
      <c r="I13">
        <v>108</v>
      </c>
      <c r="J13">
        <v>114</v>
      </c>
      <c r="K13" s="1">
        <v>101.8</v>
      </c>
      <c r="L13" s="1">
        <v>99.6</v>
      </c>
      <c r="M13">
        <v>95</v>
      </c>
      <c r="N13">
        <v>91</v>
      </c>
      <c r="P13" s="1">
        <f t="shared" si="0"/>
        <v>-5</v>
      </c>
    </row>
    <row r="14" spans="1:16" x14ac:dyDescent="0.25">
      <c r="A14" t="s">
        <v>2</v>
      </c>
      <c r="B14">
        <v>123</v>
      </c>
      <c r="C14">
        <v>124</v>
      </c>
      <c r="D14">
        <v>120</v>
      </c>
      <c r="E14">
        <v>102</v>
      </c>
      <c r="F14">
        <v>128</v>
      </c>
      <c r="G14">
        <v>124</v>
      </c>
      <c r="H14">
        <v>123</v>
      </c>
      <c r="I14">
        <v>120</v>
      </c>
      <c r="J14">
        <v>130</v>
      </c>
      <c r="K14" s="1">
        <v>118.9</v>
      </c>
      <c r="L14" s="1">
        <v>117</v>
      </c>
      <c r="M14">
        <v>108</v>
      </c>
      <c r="N14">
        <v>108</v>
      </c>
      <c r="P14" s="1">
        <f t="shared" si="0"/>
        <v>-5</v>
      </c>
    </row>
    <row r="15" spans="1:16" x14ac:dyDescent="0.25">
      <c r="A15" t="s">
        <v>11</v>
      </c>
      <c r="B15">
        <v>118</v>
      </c>
      <c r="C15">
        <v>111</v>
      </c>
      <c r="D15">
        <v>117</v>
      </c>
      <c r="E15">
        <v>110</v>
      </c>
      <c r="F15">
        <v>126</v>
      </c>
      <c r="G15">
        <v>124</v>
      </c>
      <c r="H15">
        <v>117</v>
      </c>
      <c r="I15">
        <v>115</v>
      </c>
      <c r="J15">
        <v>121</v>
      </c>
      <c r="K15" s="1">
        <v>115.8</v>
      </c>
      <c r="L15" s="1">
        <v>114.9</v>
      </c>
      <c r="M15">
        <v>110</v>
      </c>
      <c r="N15">
        <v>106</v>
      </c>
      <c r="P15" s="1">
        <f t="shared" si="0"/>
        <v>-8</v>
      </c>
    </row>
  </sheetData>
  <autoFilter ref="A1:P1" xr:uid="{A8D1CC68-FB8C-4871-872D-FA47A0343374}">
    <sortState xmlns:xlrd2="http://schemas.microsoft.com/office/spreadsheetml/2017/richdata2" ref="A2:P15">
      <sortCondition ref="A1"/>
    </sortState>
  </autoFilter>
  <conditionalFormatting sqref="P2:P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6D2D-7C1D-46EB-9022-EA4EF3E7FFC8}">
  <dimension ref="A1:C15"/>
  <sheetViews>
    <sheetView workbookViewId="0">
      <selection activeCell="B3" sqref="B3"/>
    </sheetView>
  </sheetViews>
  <sheetFormatPr defaultRowHeight="15" x14ac:dyDescent="0.25"/>
  <cols>
    <col min="1" max="1" width="36.140625" customWidth="1"/>
    <col min="2" max="2" width="21.42578125" customWidth="1"/>
    <col min="3" max="3" width="21.7109375" customWidth="1"/>
  </cols>
  <sheetData>
    <row r="1" spans="1:3" x14ac:dyDescent="0.25">
      <c r="A1" t="s">
        <v>14</v>
      </c>
      <c r="B1" t="s">
        <v>23</v>
      </c>
      <c r="C1" t="s">
        <v>24</v>
      </c>
    </row>
    <row r="2" spans="1:3" x14ac:dyDescent="0.25">
      <c r="A2" t="s">
        <v>25</v>
      </c>
      <c r="B2">
        <v>128</v>
      </c>
      <c r="C2" s="1">
        <v>119.1</v>
      </c>
    </row>
    <row r="3" spans="1:3" x14ac:dyDescent="0.25">
      <c r="A3" t="s">
        <v>26</v>
      </c>
      <c r="B3">
        <v>127</v>
      </c>
      <c r="C3" s="1">
        <v>123.7</v>
      </c>
    </row>
    <row r="4" spans="1:3" x14ac:dyDescent="0.25">
      <c r="A4" t="s">
        <v>27</v>
      </c>
      <c r="B4">
        <v>126</v>
      </c>
      <c r="C4" s="1">
        <v>117.1</v>
      </c>
    </row>
    <row r="5" spans="1:3" x14ac:dyDescent="0.25">
      <c r="A5" t="s">
        <v>28</v>
      </c>
      <c r="B5">
        <v>124</v>
      </c>
      <c r="C5" s="1">
        <v>118.9</v>
      </c>
    </row>
    <row r="6" spans="1:3" x14ac:dyDescent="0.25">
      <c r="A6" t="s">
        <v>29</v>
      </c>
      <c r="B6">
        <v>124</v>
      </c>
      <c r="C6" s="1">
        <v>115.8</v>
      </c>
    </row>
    <row r="7" spans="1:3" x14ac:dyDescent="0.25">
      <c r="A7" t="s">
        <v>30</v>
      </c>
      <c r="B7">
        <v>123</v>
      </c>
      <c r="C7" s="1">
        <v>122.7</v>
      </c>
    </row>
    <row r="8" spans="1:3" x14ac:dyDescent="0.25">
      <c r="A8" t="s">
        <v>31</v>
      </c>
      <c r="B8">
        <v>122</v>
      </c>
      <c r="C8" s="1">
        <v>118.4</v>
      </c>
    </row>
    <row r="9" spans="1:3" x14ac:dyDescent="0.25">
      <c r="A9" t="s">
        <v>32</v>
      </c>
      <c r="B9">
        <v>121</v>
      </c>
      <c r="C9" s="1">
        <v>114.4</v>
      </c>
    </row>
    <row r="10" spans="1:3" x14ac:dyDescent="0.25">
      <c r="A10" t="s">
        <v>33</v>
      </c>
      <c r="B10">
        <v>119</v>
      </c>
      <c r="C10" s="1">
        <v>111.3</v>
      </c>
    </row>
    <row r="11" spans="1:3" x14ac:dyDescent="0.25">
      <c r="A11" t="s">
        <v>34</v>
      </c>
      <c r="B11">
        <v>117</v>
      </c>
      <c r="C11" s="1">
        <v>118</v>
      </c>
    </row>
    <row r="12" spans="1:3" x14ac:dyDescent="0.25">
      <c r="A12" t="s">
        <v>35</v>
      </c>
      <c r="B12">
        <v>116</v>
      </c>
      <c r="C12" s="1">
        <v>114.9</v>
      </c>
    </row>
    <row r="13" spans="1:3" x14ac:dyDescent="0.25">
      <c r="A13" t="s">
        <v>36</v>
      </c>
      <c r="B13">
        <v>116</v>
      </c>
      <c r="C13" s="1">
        <v>112.6</v>
      </c>
    </row>
    <row r="14" spans="1:3" x14ac:dyDescent="0.25">
      <c r="A14" t="s">
        <v>37</v>
      </c>
      <c r="B14">
        <v>110</v>
      </c>
      <c r="C14" s="1">
        <v>111</v>
      </c>
    </row>
    <row r="15" spans="1:3" x14ac:dyDescent="0.25">
      <c r="A15" t="s">
        <v>38</v>
      </c>
      <c r="B15">
        <v>107</v>
      </c>
      <c r="C15" s="1">
        <v>101.8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92B1-DE03-43D1-BE22-BF1E7F08DB01}">
  <dimension ref="A1:H6"/>
  <sheetViews>
    <sheetView workbookViewId="0">
      <selection activeCell="D2" sqref="D2:D6"/>
    </sheetView>
  </sheetViews>
  <sheetFormatPr defaultRowHeight="15" x14ac:dyDescent="0.25"/>
  <cols>
    <col min="1" max="1" width="33.28515625" customWidth="1"/>
    <col min="2" max="2" width="11.28515625" customWidth="1"/>
    <col min="4" max="4" width="11.7109375" customWidth="1"/>
  </cols>
  <sheetData>
    <row r="1" spans="1:8" x14ac:dyDescent="0.25">
      <c r="B1" s="3">
        <v>44197</v>
      </c>
      <c r="C1" s="3">
        <v>44287</v>
      </c>
      <c r="D1" s="3">
        <v>44378</v>
      </c>
      <c r="E1" s="3">
        <v>44470</v>
      </c>
      <c r="F1" s="3">
        <v>44562</v>
      </c>
      <c r="G1" s="3">
        <v>44652</v>
      </c>
      <c r="H1" s="3">
        <v>44743</v>
      </c>
    </row>
    <row r="2" spans="1:8" x14ac:dyDescent="0.25">
      <c r="A2" t="s">
        <v>39</v>
      </c>
      <c r="B2" s="2">
        <v>0.22</v>
      </c>
      <c r="C2" s="2">
        <v>0.14000000000000001</v>
      </c>
      <c r="D2" s="2">
        <v>0.12</v>
      </c>
      <c r="E2" s="2">
        <v>0.2</v>
      </c>
      <c r="F2" s="2">
        <v>0.18</v>
      </c>
      <c r="G2" s="2">
        <v>0.16</v>
      </c>
      <c r="H2" s="2">
        <v>0.16</v>
      </c>
    </row>
    <row r="3" spans="1:8" x14ac:dyDescent="0.25">
      <c r="A3" t="s">
        <v>40</v>
      </c>
      <c r="B3" s="2">
        <v>0.13</v>
      </c>
      <c r="C3" s="2">
        <v>0.13</v>
      </c>
      <c r="D3" s="2">
        <v>0.13</v>
      </c>
      <c r="E3" s="2">
        <v>0.09</v>
      </c>
      <c r="F3" s="2">
        <v>0.09</v>
      </c>
      <c r="G3" s="2">
        <v>7.0000000000000007E-2</v>
      </c>
      <c r="H3" s="2">
        <v>0.06</v>
      </c>
    </row>
    <row r="4" spans="1:8" x14ac:dyDescent="0.25">
      <c r="A4" t="s">
        <v>41</v>
      </c>
      <c r="B4" s="2">
        <v>0.11</v>
      </c>
      <c r="C4" s="2">
        <v>0.14000000000000001</v>
      </c>
      <c r="D4" s="2">
        <v>0.14000000000000001</v>
      </c>
      <c r="E4" s="2">
        <v>0.14000000000000001</v>
      </c>
      <c r="F4" s="2">
        <v>0.18</v>
      </c>
      <c r="G4" s="2">
        <v>0.22</v>
      </c>
      <c r="H4" s="2">
        <v>0.2</v>
      </c>
    </row>
    <row r="5" spans="1:8" x14ac:dyDescent="0.25">
      <c r="A5" t="s">
        <v>42</v>
      </c>
      <c r="B5" s="2">
        <v>0.09</v>
      </c>
      <c r="C5" s="2">
        <v>0.02</v>
      </c>
      <c r="D5" s="2">
        <v>0.03</v>
      </c>
      <c r="E5" s="2">
        <v>0.04</v>
      </c>
      <c r="F5" s="2">
        <v>0.05</v>
      </c>
      <c r="G5" s="2">
        <v>0.03</v>
      </c>
      <c r="H5" s="2">
        <v>0.05</v>
      </c>
    </row>
    <row r="6" spans="1:8" x14ac:dyDescent="0.25">
      <c r="A6" t="s">
        <v>43</v>
      </c>
      <c r="B6" s="2">
        <v>7.0000000000000007E-2</v>
      </c>
      <c r="C6" s="2">
        <v>0.12</v>
      </c>
      <c r="D6" s="2">
        <v>0.16</v>
      </c>
      <c r="E6" s="2">
        <v>0.11</v>
      </c>
      <c r="F6" s="2">
        <v>0.1</v>
      </c>
      <c r="G6" s="2">
        <v>0.12</v>
      </c>
      <c r="H6" s="2">
        <v>0.15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1table</vt:lpstr>
      <vt:lpstr>1table_reversed_order</vt:lpstr>
      <vt:lpstr>chart_1</vt:lpstr>
      <vt:lpstr>chart_2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Nozimjon Ortiqov</dc:creator>
  <cp:lastModifiedBy>Nozimjon Ortiqov</cp:lastModifiedBy>
  <dcterms:created xsi:type="dcterms:W3CDTF">2021-05-08T18:01:53Z</dcterms:created>
  <dcterms:modified xsi:type="dcterms:W3CDTF">2025-03-31T06:14:55Z</dcterms:modified>
</cp:coreProperties>
</file>